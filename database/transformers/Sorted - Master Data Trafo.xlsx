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DEV\FAJAR-E-MAINTENANCE\database\transformers\"/>
    </mc:Choice>
  </mc:AlternateContent>
  <xr:revisionPtr revIDLastSave="0" documentId="13_ncr:1_{3D298B9A-2D39-47A2-BB98-62C56D508593}" xr6:coauthVersionLast="47" xr6:coauthVersionMax="47" xr10:uidLastSave="{00000000-0000-0000-0000-000000000000}"/>
  <bookViews>
    <workbookView xWindow="-105" yWindow="-16200" windowWidth="14610" windowHeight="15585" firstSheet="1" activeTab="2" xr2:uid="{00000000-000D-0000-FFFF-FFFF00000000}"/>
  </bookViews>
  <sheets>
    <sheet name="FUNCLOC" sheetId="2" r:id="rId1"/>
    <sheet name="TRANSFORMERS" sheetId="3" r:id="rId2"/>
    <sheet name="TRANSFORMER_DETAILS" sheetId="4" r:id="rId3"/>
    <sheet name="Sheet1" sheetId="1" r:id="rId4"/>
  </sheets>
  <calcPr calcId="191029"/>
</workbook>
</file>

<file path=xl/calcChain.xml><?xml version="1.0" encoding="utf-8"?>
<calcChain xmlns="http://schemas.openxmlformats.org/spreadsheetml/2006/main">
  <c r="J4" i="4" l="1"/>
  <c r="J3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" i="4"/>
  <c r="A25" i="4"/>
  <c r="A26" i="4"/>
  <c r="A27" i="4"/>
  <c r="A20" i="4"/>
  <c r="A21" i="4"/>
  <c r="A22" i="4"/>
  <c r="A23" i="4"/>
  <c r="A24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" i="3"/>
</calcChain>
</file>

<file path=xl/sharedStrings.xml><?xml version="1.0" encoding="utf-8"?>
<sst xmlns="http://schemas.openxmlformats.org/spreadsheetml/2006/main" count="575" uniqueCount="217">
  <si>
    <t>NO</t>
  </si>
  <si>
    <t>Keterngan</t>
  </si>
  <si>
    <t>Equipment No.</t>
  </si>
  <si>
    <t>Merk</t>
  </si>
  <si>
    <t>Serial No.</t>
  </si>
  <si>
    <t>Manufacture Years</t>
  </si>
  <si>
    <t>Vector Group</t>
  </si>
  <si>
    <t>Type of Cooling</t>
  </si>
  <si>
    <t>Um</t>
  </si>
  <si>
    <t>Short C.V.</t>
  </si>
  <si>
    <t>Capacity (KVA)</t>
  </si>
  <si>
    <t>Rated Voltage (PRIMER)</t>
  </si>
  <si>
    <t>Rated Voltage (SEKUNDER)</t>
  </si>
  <si>
    <t>Rated Current (PRIMER)</t>
  </si>
  <si>
    <t>Rated Current(Sekunder)</t>
  </si>
  <si>
    <t>Volume of Oil (Liter) / (kg)</t>
  </si>
  <si>
    <t>Arus Short Circuit (Isc) KA</t>
  </si>
  <si>
    <t>REMARK</t>
  </si>
  <si>
    <t>BARCRODE</t>
  </si>
  <si>
    <t xml:space="preserve">TR PLN </t>
  </si>
  <si>
    <t>ETF000085</t>
  </si>
  <si>
    <t>Unindo</t>
  </si>
  <si>
    <t>P050LEC692</t>
  </si>
  <si>
    <t>Ynyn 0 + d</t>
  </si>
  <si>
    <t>ONAN/ONAF</t>
  </si>
  <si>
    <t>id=Fajar-TrafoList1</t>
  </si>
  <si>
    <t>TR GTG #1</t>
  </si>
  <si>
    <t>ETF000027</t>
  </si>
  <si>
    <t>Pauwels Trafo</t>
  </si>
  <si>
    <t>94.4.6289</t>
  </si>
  <si>
    <t>Ynd1</t>
  </si>
  <si>
    <t>ONAN/ONAF 80/100%</t>
  </si>
  <si>
    <t>12.46%</t>
  </si>
  <si>
    <t>2362</t>
  </si>
  <si>
    <t>8.8 ton</t>
  </si>
  <si>
    <t>id=Fajar-TrafoList2</t>
  </si>
  <si>
    <t>TR GTG #2</t>
  </si>
  <si>
    <t>ETF000060</t>
  </si>
  <si>
    <t>0510063</t>
  </si>
  <si>
    <t>2006</t>
  </si>
  <si>
    <t>20000</t>
  </si>
  <si>
    <t>2362.5</t>
  </si>
  <si>
    <t>8.47 ton</t>
  </si>
  <si>
    <t>id=Fajar-TrafoList3</t>
  </si>
  <si>
    <t>TR AUX GTG #1 lama</t>
  </si>
  <si>
    <t>ETF000026</t>
  </si>
  <si>
    <t>3417186</t>
  </si>
  <si>
    <t>1995</t>
  </si>
  <si>
    <t>Dyn11</t>
  </si>
  <si>
    <t>ONAN</t>
  </si>
  <si>
    <t>400</t>
  </si>
  <si>
    <t>28.87</t>
  </si>
  <si>
    <t>id=Fajar-TrafoList4</t>
  </si>
  <si>
    <t>TR AUX GTG #2</t>
  </si>
  <si>
    <t>ETF000059</t>
  </si>
  <si>
    <t>Trafindo</t>
  </si>
  <si>
    <t>05331629</t>
  </si>
  <si>
    <t>2005</t>
  </si>
  <si>
    <t>Dyn5</t>
  </si>
  <si>
    <t>72.17</t>
  </si>
  <si>
    <t>1590 L</t>
  </si>
  <si>
    <t>id=Fajar-TrafoList5</t>
  </si>
  <si>
    <t>TR AUX GTG #1 Baru</t>
  </si>
  <si>
    <t>ETF000120</t>
  </si>
  <si>
    <t>Schneider</t>
  </si>
  <si>
    <t>33162210003</t>
  </si>
  <si>
    <t>2016</t>
  </si>
  <si>
    <t>86.6</t>
  </si>
  <si>
    <t>id=Fajar-TrafoList6</t>
  </si>
  <si>
    <t>TR INCHENERATOR#1</t>
  </si>
  <si>
    <t>ETF000123</t>
  </si>
  <si>
    <t>58201</t>
  </si>
  <si>
    <t>1997</t>
  </si>
  <si>
    <t>ESSO 80</t>
  </si>
  <si>
    <t>72.7</t>
  </si>
  <si>
    <t>id=Fajar-TrafoList7</t>
  </si>
  <si>
    <t>TR INCHENERATOR#2</t>
  </si>
  <si>
    <t>ETF00006</t>
  </si>
  <si>
    <t>2260L</t>
  </si>
  <si>
    <t>id=Fajar-TrafoList8</t>
  </si>
  <si>
    <t>TR WWT</t>
  </si>
  <si>
    <t>ETF00032</t>
  </si>
  <si>
    <t>id=Fajar-TrafoList9</t>
  </si>
  <si>
    <t>TRAFO ESP BOILER 3 NO.1</t>
  </si>
  <si>
    <t>ETF000091</t>
  </si>
  <si>
    <t>Fujian Longking</t>
  </si>
  <si>
    <t>Not Yet</t>
  </si>
  <si>
    <t>TRAFO STEP UP;380/66KV,ESP 55 KVA,NO.1  ESP CGB  (Boiler 3</t>
  </si>
  <si>
    <t>id=Fajar-TrafoList10</t>
  </si>
  <si>
    <t>TRAFO ESP BOILER 3 NO.2</t>
  </si>
  <si>
    <t>ETF000092</t>
  </si>
  <si>
    <t>TRAFO STEP UP;380/66KV,ESP 55 KVA,NO.2 ESP CGB  (Boiler 3</t>
  </si>
  <si>
    <t>id=Fajar-TrafoList11</t>
  </si>
  <si>
    <t>TRAFO ESP BOILER 3 NO.3</t>
  </si>
  <si>
    <t>ETF000093</t>
  </si>
  <si>
    <t>TRAFO STEP UP;380/66KV,ESP 55 KVA,NO.3 ESP CGB  (Boiler 3</t>
  </si>
  <si>
    <t>id=Fajar-TrafoList12</t>
  </si>
  <si>
    <t>TRAFO ESP BOILER 5 NO.1</t>
  </si>
  <si>
    <t>ETF000105</t>
  </si>
  <si>
    <t>TRAFO STEP UP;380/66KV,ESP 55 KVA,NO.1  ESP CGB  (Boiler 5</t>
  </si>
  <si>
    <t>id=Fajar-TrafoList13</t>
  </si>
  <si>
    <t>TRAFO ESP BOILER 5 NO.2</t>
  </si>
  <si>
    <t>ETF000106</t>
  </si>
  <si>
    <t>TRAFO STEP UP;380/66KV,ESP 55 KVA,NO.2 ESP CGB  (Boiler 5</t>
  </si>
  <si>
    <t>id=Fajar-TrafoList14</t>
  </si>
  <si>
    <t>TRAFO ESP BOILER 5 NO.3</t>
  </si>
  <si>
    <t>ETF000107</t>
  </si>
  <si>
    <t>TRAFO STEP UP;380/66KV,ESP 55 KVA,NO.3 ESP CGB  (Boiler 5</t>
  </si>
  <si>
    <t>id=Fajar-TrafoList15</t>
  </si>
  <si>
    <t>TRAFO ESP BOILER 6 NO.1</t>
  </si>
  <si>
    <t>ETF000108</t>
  </si>
  <si>
    <t>-</t>
  </si>
  <si>
    <t>TRAFO STEP UP;380/66KV,ESP 55 KVA,NO.1  ESP CGB  (Boiler 6</t>
  </si>
  <si>
    <t>id=Fajar-TrafoList16</t>
  </si>
  <si>
    <t>TRAFO ESP BOILER 6 NO.2</t>
  </si>
  <si>
    <t>ETF000109</t>
  </si>
  <si>
    <t>TRAFO STEP UP;380/66KV,ESP 55 KVA,NO.2 ESP CGB  (Boiler 6</t>
  </si>
  <si>
    <t>id=Fajar-TrafoList17</t>
  </si>
  <si>
    <t>TRAFO ESP BOILER 6 NO.3</t>
  </si>
  <si>
    <t>ETF000110</t>
  </si>
  <si>
    <t>TRAFO STEP UP;380/66KV,ESP 55 KVA,NO.3 ESP CGB  (Boiler 6</t>
  </si>
  <si>
    <t>id=Fajar-TrafoList18</t>
  </si>
  <si>
    <t xml:space="preserve">TR GT3 STEP-UP </t>
  </si>
  <si>
    <t>ETF000113</t>
  </si>
  <si>
    <t>M-377</t>
  </si>
  <si>
    <t>2017</t>
  </si>
  <si>
    <t>3299</t>
  </si>
  <si>
    <t>id=Fajar-TrafoList19</t>
  </si>
  <si>
    <t>TR START/STANBY</t>
  </si>
  <si>
    <t>ETF000111</t>
  </si>
  <si>
    <t>M-378</t>
  </si>
  <si>
    <t>Dd0</t>
  </si>
  <si>
    <t>314.9</t>
  </si>
  <si>
    <t>id=Fajar-TrafoList20</t>
  </si>
  <si>
    <t>TR AUXILIARY</t>
  </si>
  <si>
    <t>ETF000112</t>
  </si>
  <si>
    <t>M-380</t>
  </si>
  <si>
    <t>659.8</t>
  </si>
  <si>
    <t>id=Fajar-TrafoList21</t>
  </si>
  <si>
    <t>TR AUX MV-LV #1</t>
  </si>
  <si>
    <t>ETF000114</t>
  </si>
  <si>
    <t>33162210001</t>
  </si>
  <si>
    <t>3608.4</t>
  </si>
  <si>
    <t>id=Fajar-TrafoList22</t>
  </si>
  <si>
    <t>TR AUX MV-LV #2</t>
  </si>
  <si>
    <t>ETF000115</t>
  </si>
  <si>
    <t>3316221002</t>
  </si>
  <si>
    <t>id=Fajar-TrafoList23</t>
  </si>
  <si>
    <t>INCI # 1 (New)</t>
  </si>
  <si>
    <t>TRAFINDO</t>
  </si>
  <si>
    <t>081305930</t>
  </si>
  <si>
    <t>2018</t>
  </si>
  <si>
    <t>86.60</t>
  </si>
  <si>
    <t>id=Fajar-TrafoList24</t>
  </si>
  <si>
    <t>WT-1</t>
  </si>
  <si>
    <t>0230005</t>
  </si>
  <si>
    <t>2001</t>
  </si>
  <si>
    <t>id=Fajar-TrafoList25</t>
  </si>
  <si>
    <t>TRAFO MV CELL</t>
  </si>
  <si>
    <t>OCREV</t>
  </si>
  <si>
    <t>64754</t>
  </si>
  <si>
    <t>AN</t>
  </si>
  <si>
    <t>11+-2 x2.5%</t>
  </si>
  <si>
    <t>20.99</t>
  </si>
  <si>
    <t>Dry type</t>
  </si>
  <si>
    <t>id=Fajar-TrafoList26</t>
  </si>
  <si>
    <t>id</t>
  </si>
  <si>
    <t>tag_name</t>
  </si>
  <si>
    <t>created_at</t>
  </si>
  <si>
    <t>FP-01-IN1</t>
  </si>
  <si>
    <t>TRAFO ENC</t>
  </si>
  <si>
    <t>status</t>
  </si>
  <si>
    <t>funcloc</t>
  </si>
  <si>
    <t>sort_field</t>
  </si>
  <si>
    <t>material_number</t>
  </si>
  <si>
    <t>equipment_description</t>
  </si>
  <si>
    <t>unique_id</t>
  </si>
  <si>
    <t>qr_code_link</t>
  </si>
  <si>
    <t>Installed</t>
  </si>
  <si>
    <t>ETF000006</t>
  </si>
  <si>
    <t>ETF000032</t>
  </si>
  <si>
    <t>ETF000124</t>
  </si>
  <si>
    <t>ETF000125</t>
  </si>
  <si>
    <t>ETF000126</t>
  </si>
  <si>
    <t>serial_number</t>
  </si>
  <si>
    <t>type</t>
  </si>
  <si>
    <t>power_rate</t>
  </si>
  <si>
    <t>power_unit</t>
  </si>
  <si>
    <t>frequency</t>
  </si>
  <si>
    <t>ip_rating</t>
  </si>
  <si>
    <t>insulation_class</t>
  </si>
  <si>
    <t>weight</t>
  </si>
  <si>
    <t/>
  </si>
  <si>
    <t>Delta</t>
  </si>
  <si>
    <t>transformer_details</t>
  </si>
  <si>
    <t>kVA</t>
  </si>
  <si>
    <t>manufacturer</t>
  </si>
  <si>
    <t>year_of_manufacture</t>
  </si>
  <si>
    <t>vector_group</t>
  </si>
  <si>
    <t>temp_rise_oil_winding</t>
  </si>
  <si>
    <t>oil_type</t>
  </si>
  <si>
    <t>weight_of_oil</t>
  </si>
  <si>
    <t>primary_voltage</t>
  </si>
  <si>
    <t>secondary_voltage</t>
  </si>
  <si>
    <t>primary_current</t>
  </si>
  <si>
    <t>secondary_current</t>
  </si>
  <si>
    <t>primary_connection_type</t>
  </si>
  <si>
    <t>secondary_connection_type</t>
  </si>
  <si>
    <t>type_of_cooling</t>
  </si>
  <si>
    <t>72.1</t>
  </si>
  <si>
    <t>1237.2</t>
  </si>
  <si>
    <t>3608.44</t>
  </si>
  <si>
    <t>4330.1</t>
  </si>
  <si>
    <t>2199.4</t>
  </si>
  <si>
    <t>4330.13</t>
  </si>
  <si>
    <t>577.35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</si>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</sst>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%"/>
    <numFmt numFmtId="169" formatCode="0.0"/>
    <numFmt numFmtId="170" formatCode="#,##0.0"/>
    <numFmt numFmtId="171" formatCode="yyyy\-mm\-dd\ hh:mm:ss"/>
    <numFmt numFmtId="173" formatCode="&quot;id=Fajar-TrafoList&quot;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charset val="134"/>
    </font>
    <font>
      <b/>
      <sz val="14"/>
      <name val="Times New Roman"/>
      <charset val="134"/>
    </font>
    <font>
      <b/>
      <sz val="14"/>
      <color indexed="63"/>
      <name val="Times New Roman"/>
      <charset val="134"/>
    </font>
    <font>
      <sz val="14"/>
      <name val="Times New Roman"/>
      <charset val="134"/>
    </font>
    <font>
      <sz val="14"/>
      <color indexed="8"/>
      <name val="Times New Roman"/>
    </font>
    <font>
      <sz val="14"/>
      <color indexed="8"/>
      <name val="Times New Roman"/>
      <family val="2"/>
    </font>
    <font>
      <sz val="14"/>
      <color rgb="FF000000"/>
      <name val="Times New Roman"/>
      <charset val="134"/>
    </font>
    <font>
      <sz val="14"/>
      <color indexed="8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sz val="8"/>
      <name val="Calibri"/>
      <family val="2"/>
      <scheme val="minor"/>
    </font>
    <font>
      <sz val="14"/>
      <name val="Times New Roman"/>
      <family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5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0" borderId="0" xfId="0" applyFont="1" applyAlignment="1"/>
    <xf numFmtId="0" fontId="11" fillId="0" borderId="1" xfId="0" applyFont="1" applyBorder="1" applyAlignment="1"/>
    <xf numFmtId="171" fontId="11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5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73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3" fontId="15" fillId="0" borderId="1" xfId="0" applyNumberFormat="1" applyFont="1" applyBorder="1" applyAlignment="1">
      <alignment horizontal="center"/>
    </xf>
    <xf numFmtId="49" fontId="11" fillId="0" borderId="1" xfId="1" applyNumberFormat="1" applyFont="1" applyBorder="1" applyAlignment="1">
      <alignment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>
      <alignment vertical="center"/>
    </xf>
    <xf numFmtId="49" fontId="11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1" fillId="6" borderId="1" xfId="1" applyNumberFormat="1" applyFont="1" applyFill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" fillId="0" borderId="0" xfId="0" applyNumberFormat="1" applyFont="1">
      <alignment vertical="center"/>
    </xf>
  </cellXfs>
  <cellStyles count="2">
    <cellStyle name="Normal" xfId="0" builtinId="0"/>
    <cellStyle name="Normal 2" xfId="1" xr:uid="{CFC02D4D-9272-4C1F-8426-06C9303C6434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5572-8B29-43FA-948B-E4B0D05FAE8D}">
  <dimension ref="A1:C2"/>
  <sheetViews>
    <sheetView workbookViewId="0">
      <selection activeCell="B19" sqref="B19"/>
    </sheetView>
  </sheetViews>
  <sheetFormatPr defaultRowHeight="12.75"/>
  <cols>
    <col min="1" max="1" width="24.140625" style="27" bestFit="1" customWidth="1"/>
    <col min="2" max="2" width="15.42578125" style="27" bestFit="1" customWidth="1"/>
    <col min="3" max="3" width="20.42578125" style="27" bestFit="1" customWidth="1"/>
    <col min="4" max="16384" width="9.140625" style="27"/>
  </cols>
  <sheetData>
    <row r="1" spans="1:3" s="24" customFormat="1" ht="20.25" customHeight="1">
      <c r="A1" s="43" t="s">
        <v>166</v>
      </c>
      <c r="B1" s="23" t="s">
        <v>167</v>
      </c>
      <c r="C1" s="23" t="s">
        <v>168</v>
      </c>
    </row>
    <row r="2" spans="1:3" s="24" customFormat="1">
      <c r="A2" s="25" t="s">
        <v>169</v>
      </c>
      <c r="B2" s="38" t="s">
        <v>170</v>
      </c>
      <c r="C2" s="26">
        <v>45252.353483796294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201C-2FB7-404E-9851-EA851A134797}">
  <dimension ref="A1:I27"/>
  <sheetViews>
    <sheetView workbookViewId="0">
      <selection activeCell="A2" sqref="A2"/>
    </sheetView>
  </sheetViews>
  <sheetFormatPr defaultRowHeight="12.75"/>
  <cols>
    <col min="1" max="1" width="14" style="36" bestFit="1" customWidth="1"/>
    <col min="2" max="2" width="11" style="36" customWidth="1"/>
    <col min="3" max="3" width="24.5703125" style="36" bestFit="1" customWidth="1"/>
    <col min="4" max="4" width="25.85546875" style="36" bestFit="1" customWidth="1"/>
    <col min="5" max="5" width="14.85546875" style="36" bestFit="1" customWidth="1"/>
    <col min="6" max="6" width="37.140625" style="36" bestFit="1" customWidth="1"/>
    <col min="7" max="7" width="9.140625" style="36" bestFit="1" customWidth="1"/>
    <col min="8" max="8" width="58.7109375" style="36" bestFit="1" customWidth="1"/>
    <col min="9" max="9" width="22.85546875" style="36" bestFit="1" customWidth="1"/>
    <col min="10" max="16384" width="9.140625" style="36"/>
  </cols>
  <sheetData>
    <row r="1" spans="1:9" s="34" customFormat="1" ht="20.25" customHeight="1">
      <c r="A1" s="28" t="s">
        <v>166</v>
      </c>
      <c r="B1" s="28" t="s">
        <v>171</v>
      </c>
      <c r="C1" s="29" t="s">
        <v>172</v>
      </c>
      <c r="D1" s="29" t="s">
        <v>173</v>
      </c>
      <c r="E1" s="29" t="s">
        <v>174</v>
      </c>
      <c r="F1" s="29" t="s">
        <v>175</v>
      </c>
      <c r="G1" s="28" t="s">
        <v>176</v>
      </c>
      <c r="H1" s="28" t="s">
        <v>177</v>
      </c>
      <c r="I1" s="29" t="s">
        <v>168</v>
      </c>
    </row>
    <row r="2" spans="1:9" s="34" customFormat="1">
      <c r="A2" s="37" t="s">
        <v>20</v>
      </c>
      <c r="B2" s="30" t="s">
        <v>178</v>
      </c>
      <c r="C2" s="38" t="s">
        <v>169</v>
      </c>
      <c r="D2" s="39" t="s">
        <v>19</v>
      </c>
      <c r="E2" s="30"/>
      <c r="F2" s="39" t="s">
        <v>19</v>
      </c>
      <c r="G2" s="30">
        <v>1</v>
      </c>
      <c r="H2" s="35">
        <f>(G2)</f>
        <v>1</v>
      </c>
      <c r="I2" s="26">
        <v>45251.807650462964</v>
      </c>
    </row>
    <row r="3" spans="1:9">
      <c r="A3" s="40" t="s">
        <v>27</v>
      </c>
      <c r="B3" s="30" t="s">
        <v>178</v>
      </c>
      <c r="C3" s="38" t="s">
        <v>169</v>
      </c>
      <c r="D3" s="41" t="s">
        <v>26</v>
      </c>
      <c r="E3" s="38"/>
      <c r="F3" s="41" t="s">
        <v>26</v>
      </c>
      <c r="G3" s="38">
        <v>2</v>
      </c>
      <c r="H3" s="35">
        <f t="shared" ref="H3:H27" si="0">(G3)</f>
        <v>2</v>
      </c>
      <c r="I3" s="26">
        <v>45251.807662037034</v>
      </c>
    </row>
    <row r="4" spans="1:9">
      <c r="A4" s="32" t="s">
        <v>37</v>
      </c>
      <c r="B4" s="30" t="s">
        <v>178</v>
      </c>
      <c r="C4" s="38" t="s">
        <v>169</v>
      </c>
      <c r="D4" s="41" t="s">
        <v>36</v>
      </c>
      <c r="E4" s="38"/>
      <c r="F4" s="41" t="s">
        <v>36</v>
      </c>
      <c r="G4" s="30">
        <v>3</v>
      </c>
      <c r="H4" s="35">
        <f t="shared" si="0"/>
        <v>3</v>
      </c>
      <c r="I4" s="26">
        <v>45251.807673495372</v>
      </c>
    </row>
    <row r="5" spans="1:9">
      <c r="A5" s="40" t="s">
        <v>45</v>
      </c>
      <c r="B5" s="30" t="s">
        <v>178</v>
      </c>
      <c r="C5" s="38" t="s">
        <v>169</v>
      </c>
      <c r="D5" s="41" t="s">
        <v>44</v>
      </c>
      <c r="E5" s="38"/>
      <c r="F5" s="41" t="s">
        <v>44</v>
      </c>
      <c r="G5" s="38">
        <v>4</v>
      </c>
      <c r="H5" s="35">
        <f t="shared" si="0"/>
        <v>4</v>
      </c>
      <c r="I5" s="26">
        <v>45251.807685011576</v>
      </c>
    </row>
    <row r="6" spans="1:9">
      <c r="A6" s="32" t="s">
        <v>54</v>
      </c>
      <c r="B6" s="30" t="s">
        <v>178</v>
      </c>
      <c r="C6" s="38" t="s">
        <v>169</v>
      </c>
      <c r="D6" s="41" t="s">
        <v>53</v>
      </c>
      <c r="E6" s="38"/>
      <c r="F6" s="41" t="s">
        <v>53</v>
      </c>
      <c r="G6" s="30">
        <v>5</v>
      </c>
      <c r="H6" s="35">
        <f t="shared" si="0"/>
        <v>5</v>
      </c>
      <c r="I6" s="26">
        <v>45251.80769652778</v>
      </c>
    </row>
    <row r="7" spans="1:9">
      <c r="A7" s="32" t="s">
        <v>63</v>
      </c>
      <c r="B7" s="30" t="s">
        <v>178</v>
      </c>
      <c r="C7" s="38" t="s">
        <v>169</v>
      </c>
      <c r="D7" s="41" t="s">
        <v>62</v>
      </c>
      <c r="E7" s="38"/>
      <c r="F7" s="41" t="s">
        <v>62</v>
      </c>
      <c r="G7" s="38">
        <v>6</v>
      </c>
      <c r="H7" s="35">
        <f t="shared" si="0"/>
        <v>6</v>
      </c>
      <c r="I7" s="26">
        <v>45251.807708043983</v>
      </c>
    </row>
    <row r="8" spans="1:9">
      <c r="A8" s="32" t="s">
        <v>70</v>
      </c>
      <c r="B8" s="30" t="s">
        <v>178</v>
      </c>
      <c r="C8" s="38" t="s">
        <v>169</v>
      </c>
      <c r="D8" s="41" t="s">
        <v>69</v>
      </c>
      <c r="E8" s="38"/>
      <c r="F8" s="41" t="s">
        <v>69</v>
      </c>
      <c r="G8" s="30">
        <v>7</v>
      </c>
      <c r="H8" s="35">
        <f t="shared" si="0"/>
        <v>7</v>
      </c>
      <c r="I8" s="26">
        <v>45251.807719560187</v>
      </c>
    </row>
    <row r="9" spans="1:9">
      <c r="A9" s="37" t="s">
        <v>179</v>
      </c>
      <c r="B9" s="30" t="s">
        <v>178</v>
      </c>
      <c r="C9" s="38" t="s">
        <v>169</v>
      </c>
      <c r="D9" s="41" t="s">
        <v>76</v>
      </c>
      <c r="E9" s="38"/>
      <c r="F9" s="41" t="s">
        <v>76</v>
      </c>
      <c r="G9" s="38">
        <v>8</v>
      </c>
      <c r="H9" s="35">
        <f t="shared" si="0"/>
        <v>8</v>
      </c>
      <c r="I9" s="26">
        <v>45251.807731076391</v>
      </c>
    </row>
    <row r="10" spans="1:9">
      <c r="A10" s="37" t="s">
        <v>180</v>
      </c>
      <c r="B10" s="30" t="s">
        <v>178</v>
      </c>
      <c r="C10" s="38" t="s">
        <v>169</v>
      </c>
      <c r="D10" s="41" t="s">
        <v>80</v>
      </c>
      <c r="E10" s="38"/>
      <c r="F10" s="41" t="s">
        <v>80</v>
      </c>
      <c r="G10" s="30">
        <v>9</v>
      </c>
      <c r="H10" s="35">
        <f t="shared" si="0"/>
        <v>9</v>
      </c>
      <c r="I10" s="26">
        <v>45251.807742592595</v>
      </c>
    </row>
    <row r="11" spans="1:9">
      <c r="A11" s="32" t="s">
        <v>84</v>
      </c>
      <c r="B11" s="30" t="s">
        <v>178</v>
      </c>
      <c r="C11" s="38" t="s">
        <v>169</v>
      </c>
      <c r="D11" s="33" t="s">
        <v>83</v>
      </c>
      <c r="E11" s="38"/>
      <c r="F11" s="33" t="s">
        <v>83</v>
      </c>
      <c r="G11" s="38">
        <v>10</v>
      </c>
      <c r="H11" s="35">
        <f t="shared" si="0"/>
        <v>10</v>
      </c>
      <c r="I11" s="26">
        <v>45251.807754108799</v>
      </c>
    </row>
    <row r="12" spans="1:9">
      <c r="A12" s="32" t="s">
        <v>90</v>
      </c>
      <c r="B12" s="30" t="s">
        <v>178</v>
      </c>
      <c r="C12" s="38" t="s">
        <v>169</v>
      </c>
      <c r="D12" s="33" t="s">
        <v>89</v>
      </c>
      <c r="E12" s="38"/>
      <c r="F12" s="33" t="s">
        <v>89</v>
      </c>
      <c r="G12" s="30">
        <v>11</v>
      </c>
      <c r="H12" s="35">
        <f t="shared" si="0"/>
        <v>11</v>
      </c>
      <c r="I12" s="26">
        <v>45251.807765625003</v>
      </c>
    </row>
    <row r="13" spans="1:9">
      <c r="A13" s="32" t="s">
        <v>94</v>
      </c>
      <c r="B13" s="30" t="s">
        <v>178</v>
      </c>
      <c r="C13" s="38" t="s">
        <v>169</v>
      </c>
      <c r="D13" s="33" t="s">
        <v>93</v>
      </c>
      <c r="E13" s="38"/>
      <c r="F13" s="33" t="s">
        <v>93</v>
      </c>
      <c r="G13" s="38">
        <v>12</v>
      </c>
      <c r="H13" s="35">
        <f t="shared" si="0"/>
        <v>12</v>
      </c>
      <c r="I13" s="26">
        <v>45251.807777141206</v>
      </c>
    </row>
    <row r="14" spans="1:9">
      <c r="A14" s="32" t="s">
        <v>98</v>
      </c>
      <c r="B14" s="30" t="s">
        <v>178</v>
      </c>
      <c r="C14" s="38" t="s">
        <v>169</v>
      </c>
      <c r="D14" s="33" t="s">
        <v>97</v>
      </c>
      <c r="E14" s="38"/>
      <c r="F14" s="33" t="s">
        <v>97</v>
      </c>
      <c r="G14" s="30">
        <v>13</v>
      </c>
      <c r="H14" s="35">
        <f t="shared" si="0"/>
        <v>13</v>
      </c>
      <c r="I14" s="26">
        <v>45251.80778865741</v>
      </c>
    </row>
    <row r="15" spans="1:9">
      <c r="A15" s="32" t="s">
        <v>102</v>
      </c>
      <c r="B15" s="30" t="s">
        <v>178</v>
      </c>
      <c r="C15" s="38" t="s">
        <v>169</v>
      </c>
      <c r="D15" s="33" t="s">
        <v>101</v>
      </c>
      <c r="E15" s="38"/>
      <c r="F15" s="33" t="s">
        <v>101</v>
      </c>
      <c r="G15" s="38">
        <v>14</v>
      </c>
      <c r="H15" s="35">
        <f t="shared" si="0"/>
        <v>14</v>
      </c>
      <c r="I15" s="26">
        <v>45251.807800173614</v>
      </c>
    </row>
    <row r="16" spans="1:9">
      <c r="A16" s="32" t="s">
        <v>106</v>
      </c>
      <c r="B16" s="30" t="s">
        <v>178</v>
      </c>
      <c r="C16" s="38" t="s">
        <v>169</v>
      </c>
      <c r="D16" s="33" t="s">
        <v>105</v>
      </c>
      <c r="E16" s="38"/>
      <c r="F16" s="33" t="s">
        <v>105</v>
      </c>
      <c r="G16" s="30">
        <v>15</v>
      </c>
      <c r="H16" s="35">
        <f t="shared" si="0"/>
        <v>15</v>
      </c>
      <c r="I16" s="26">
        <v>45251.807811689818</v>
      </c>
    </row>
    <row r="17" spans="1:9">
      <c r="A17" s="32" t="s">
        <v>110</v>
      </c>
      <c r="B17" s="30" t="s">
        <v>178</v>
      </c>
      <c r="C17" s="38" t="s">
        <v>169</v>
      </c>
      <c r="D17" s="33" t="s">
        <v>109</v>
      </c>
      <c r="E17" s="38"/>
      <c r="F17" s="33" t="s">
        <v>109</v>
      </c>
      <c r="G17" s="38">
        <v>16</v>
      </c>
      <c r="H17" s="35">
        <f t="shared" si="0"/>
        <v>16</v>
      </c>
      <c r="I17" s="26">
        <v>45251.807823206022</v>
      </c>
    </row>
    <row r="18" spans="1:9">
      <c r="A18" s="32" t="s">
        <v>115</v>
      </c>
      <c r="B18" s="30" t="s">
        <v>178</v>
      </c>
      <c r="C18" s="38" t="s">
        <v>169</v>
      </c>
      <c r="D18" s="33" t="s">
        <v>114</v>
      </c>
      <c r="E18" s="38"/>
      <c r="F18" s="33" t="s">
        <v>114</v>
      </c>
      <c r="G18" s="30">
        <v>17</v>
      </c>
      <c r="H18" s="35">
        <f t="shared" si="0"/>
        <v>17</v>
      </c>
      <c r="I18" s="26">
        <v>45251.807834722225</v>
      </c>
    </row>
    <row r="19" spans="1:9">
      <c r="A19" s="32" t="s">
        <v>119</v>
      </c>
      <c r="B19" s="30" t="s">
        <v>178</v>
      </c>
      <c r="C19" s="38" t="s">
        <v>169</v>
      </c>
      <c r="D19" s="33" t="s">
        <v>118</v>
      </c>
      <c r="E19" s="38"/>
      <c r="F19" s="33" t="s">
        <v>118</v>
      </c>
      <c r="G19" s="38">
        <v>18</v>
      </c>
      <c r="H19" s="35">
        <f t="shared" si="0"/>
        <v>18</v>
      </c>
      <c r="I19" s="26">
        <v>45251.807846238429</v>
      </c>
    </row>
    <row r="20" spans="1:9">
      <c r="A20" s="32" t="s">
        <v>123</v>
      </c>
      <c r="B20" s="30" t="s">
        <v>178</v>
      </c>
      <c r="C20" s="38" t="s">
        <v>169</v>
      </c>
      <c r="D20" s="41" t="s">
        <v>122</v>
      </c>
      <c r="E20" s="38"/>
      <c r="F20" s="41" t="s">
        <v>122</v>
      </c>
      <c r="G20" s="30">
        <v>19</v>
      </c>
      <c r="H20" s="35">
        <f t="shared" si="0"/>
        <v>19</v>
      </c>
      <c r="I20" s="26">
        <v>45251.807857754633</v>
      </c>
    </row>
    <row r="21" spans="1:9">
      <c r="A21" s="32" t="s">
        <v>129</v>
      </c>
      <c r="B21" s="30" t="s">
        <v>178</v>
      </c>
      <c r="C21" s="38" t="s">
        <v>169</v>
      </c>
      <c r="D21" s="41" t="s">
        <v>128</v>
      </c>
      <c r="E21" s="38"/>
      <c r="F21" s="41" t="s">
        <v>128</v>
      </c>
      <c r="G21" s="38">
        <v>20</v>
      </c>
      <c r="H21" s="35">
        <f t="shared" si="0"/>
        <v>20</v>
      </c>
      <c r="I21" s="26">
        <v>45251.807869270837</v>
      </c>
    </row>
    <row r="22" spans="1:9">
      <c r="A22" s="32" t="s">
        <v>135</v>
      </c>
      <c r="B22" s="30" t="s">
        <v>178</v>
      </c>
      <c r="C22" s="38" t="s">
        <v>169</v>
      </c>
      <c r="D22" s="41" t="s">
        <v>134</v>
      </c>
      <c r="E22" s="38"/>
      <c r="F22" s="41" t="s">
        <v>134</v>
      </c>
      <c r="G22" s="30">
        <v>21</v>
      </c>
      <c r="H22" s="35">
        <f t="shared" si="0"/>
        <v>21</v>
      </c>
      <c r="I22" s="26">
        <v>45251.807880787041</v>
      </c>
    </row>
    <row r="23" spans="1:9">
      <c r="A23" s="32" t="s">
        <v>140</v>
      </c>
      <c r="B23" s="30" t="s">
        <v>178</v>
      </c>
      <c r="C23" s="38" t="s">
        <v>169</v>
      </c>
      <c r="D23" s="41" t="s">
        <v>139</v>
      </c>
      <c r="E23" s="38"/>
      <c r="F23" s="41" t="s">
        <v>139</v>
      </c>
      <c r="G23" s="38">
        <v>22</v>
      </c>
      <c r="H23" s="35">
        <f t="shared" si="0"/>
        <v>22</v>
      </c>
      <c r="I23" s="26">
        <v>45251.807892303237</v>
      </c>
    </row>
    <row r="24" spans="1:9">
      <c r="A24" s="32" t="s">
        <v>145</v>
      </c>
      <c r="B24" s="30" t="s">
        <v>178</v>
      </c>
      <c r="C24" s="38" t="s">
        <v>169</v>
      </c>
      <c r="D24" s="41" t="s">
        <v>144</v>
      </c>
      <c r="E24" s="38"/>
      <c r="F24" s="41" t="s">
        <v>144</v>
      </c>
      <c r="G24" s="30">
        <v>23</v>
      </c>
      <c r="H24" s="35">
        <f t="shared" si="0"/>
        <v>23</v>
      </c>
      <c r="I24" s="26">
        <v>45251.807903819441</v>
      </c>
    </row>
    <row r="25" spans="1:9">
      <c r="A25" s="42" t="s">
        <v>181</v>
      </c>
      <c r="B25" s="30" t="s">
        <v>178</v>
      </c>
      <c r="C25" s="38" t="s">
        <v>169</v>
      </c>
      <c r="D25" s="41" t="s">
        <v>148</v>
      </c>
      <c r="E25" s="38"/>
      <c r="F25" s="41" t="s">
        <v>148</v>
      </c>
      <c r="G25" s="38">
        <v>24</v>
      </c>
      <c r="H25" s="35">
        <f t="shared" si="0"/>
        <v>24</v>
      </c>
      <c r="I25" s="26">
        <v>45251.807915335645</v>
      </c>
    </row>
    <row r="26" spans="1:9">
      <c r="A26" s="42" t="s">
        <v>182</v>
      </c>
      <c r="B26" s="30" t="s">
        <v>178</v>
      </c>
      <c r="C26" s="38" t="s">
        <v>169</v>
      </c>
      <c r="D26" s="41" t="s">
        <v>154</v>
      </c>
      <c r="E26" s="38"/>
      <c r="F26" s="41" t="s">
        <v>154</v>
      </c>
      <c r="G26" s="30">
        <v>25</v>
      </c>
      <c r="H26" s="35">
        <f t="shared" si="0"/>
        <v>25</v>
      </c>
      <c r="I26" s="26">
        <v>45251.807926851849</v>
      </c>
    </row>
    <row r="27" spans="1:9">
      <c r="A27" s="42" t="s">
        <v>183</v>
      </c>
      <c r="B27" s="30" t="s">
        <v>178</v>
      </c>
      <c r="C27" s="38" t="s">
        <v>169</v>
      </c>
      <c r="D27" s="41" t="s">
        <v>158</v>
      </c>
      <c r="E27" s="38"/>
      <c r="F27" s="41" t="s">
        <v>158</v>
      </c>
      <c r="G27" s="38">
        <v>26</v>
      </c>
      <c r="H27" s="35">
        <f t="shared" si="0"/>
        <v>26</v>
      </c>
      <c r="I27" s="26">
        <v>45251.807938368052</v>
      </c>
    </row>
  </sheetData>
  <phoneticPr fontId="14" type="noConversion"/>
  <conditionalFormatting sqref="A1:A2">
    <cfRule type="expression" dxfId="15" priority="9">
      <formula>LEN($A:$A) &gt;9</formula>
    </cfRule>
    <cfRule type="cellIs" dxfId="14" priority="10" operator="between">
      <formula>"MDO000000"</formula>
      <formula>"MDO999999"</formula>
    </cfRule>
    <cfRule type="cellIs" dxfId="13" priority="11" operator="between">
      <formula>"MFB000000"</formula>
      <formula>"MFB999999"</formula>
    </cfRule>
    <cfRule type="cellIs" dxfId="12" priority="12" operator="between">
      <formula>"MGB000000"</formula>
      <formula>"MGB999999"</formula>
    </cfRule>
    <cfRule type="cellIs" dxfId="11" priority="13" operator="between">
      <formula>"MGM000000"</formula>
      <formula>"MGM999999"</formula>
    </cfRule>
    <cfRule type="cellIs" dxfId="10" priority="14" operator="between">
      <formula>"EMO000000"</formula>
      <formula>"EMO999999"</formula>
    </cfRule>
    <cfRule type="duplicateValues" dxfId="9" priority="15"/>
  </conditionalFormatting>
  <conditionalFormatting sqref="C1:C27">
    <cfRule type="duplicateValues" dxfId="8" priority="8"/>
  </conditionalFormatting>
  <conditionalFormatting sqref="D1">
    <cfRule type="duplicateValues" dxfId="7" priority="7"/>
  </conditionalFormatting>
  <conditionalFormatting sqref="G1:G2 G4 G6 G8 G10 G12 G14 G16 G18 G20 G22 G24 G26">
    <cfRule type="duplicateValues" dxfId="6" priority="5"/>
  </conditionalFormatting>
  <conditionalFormatting sqref="H1:H27">
    <cfRule type="duplicateValues" dxfId="5" priority="4"/>
    <cfRule type="duplicateValues" dxfId="4" priority="6"/>
  </conditionalFormatting>
  <conditionalFormatting sqref="F2">
    <cfRule type="duplicateValues" dxfId="3" priority="3"/>
  </conditionalFormatting>
  <conditionalFormatting sqref="D2">
    <cfRule type="duplicateValues" dxfId="2" priority="2"/>
  </conditionalFormatting>
  <conditionalFormatting sqref="A1:A1048576">
    <cfRule type="duplicateValues" dxfId="1" priority="1"/>
  </conditionalFormatting>
  <dataValidations count="1">
    <dataValidation type="list" allowBlank="1" showInputMessage="1" showErrorMessage="1" sqref="B2:B27" xr:uid="{C746B2CA-62D3-4DEB-BED3-BA988471B785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5F1E-6A5E-4E53-A0C6-C069FC5D33EA}">
  <dimension ref="A1:V27"/>
  <sheetViews>
    <sheetView tabSelected="1" topLeftCell="N1" zoomScaleNormal="100" workbookViewId="0">
      <selection activeCell="V2" sqref="V2"/>
    </sheetView>
  </sheetViews>
  <sheetFormatPr defaultRowHeight="15"/>
  <cols>
    <col min="1" max="1" width="16.85546875" style="44" bestFit="1" customWidth="1"/>
    <col min="2" max="2" width="10" style="44" bestFit="1" customWidth="1"/>
    <col min="3" max="3" width="9.85546875" style="44" bestFit="1" customWidth="1"/>
    <col min="4" max="4" width="14" style="44" bestFit="1" customWidth="1"/>
    <col min="5" max="5" width="16.42578125" style="44" bestFit="1" customWidth="1"/>
    <col min="6" max="6" width="14" style="44" bestFit="1" customWidth="1"/>
    <col min="7" max="7" width="16.42578125" style="44" bestFit="1" customWidth="1"/>
    <col min="8" max="8" width="22.140625" style="44" bestFit="1" customWidth="1"/>
    <col min="9" max="9" width="24.5703125" style="44" bestFit="1" customWidth="1"/>
    <col min="10" max="10" width="10" style="44" bestFit="1" customWidth="1"/>
    <col min="11" max="11" width="14.140625" style="44" bestFit="1" customWidth="1"/>
    <col min="12" max="12" width="18.42578125" style="44" bestFit="1" customWidth="1"/>
    <col min="13" max="13" width="12.5703125" style="44" bestFit="1" customWidth="1"/>
    <col min="14" max="14" width="11.42578125" style="44" bestFit="1" customWidth="1"/>
    <col min="15" max="15" width="9" style="44" bestFit="1" customWidth="1"/>
    <col min="16" max="16" width="14.42578125" style="44" bestFit="1" customWidth="1"/>
    <col min="17" max="17" width="20.140625" style="44" bestFit="1" customWidth="1"/>
    <col min="18" max="18" width="19.42578125" style="44" bestFit="1" customWidth="1"/>
    <col min="19" max="19" width="6.28515625" style="44" bestFit="1" customWidth="1"/>
    <col min="20" max="20" width="11.5703125" style="44" bestFit="1" customWidth="1"/>
    <col min="21" max="21" width="7.42578125" style="44" bestFit="1" customWidth="1"/>
    <col min="22" max="22" width="8" style="44" bestFit="1" customWidth="1"/>
    <col min="23" max="16384" width="9.140625" style="44"/>
  </cols>
  <sheetData>
    <row r="1" spans="1:22" s="34" customFormat="1" ht="20.25" customHeight="1">
      <c r="A1" s="28" t="s">
        <v>194</v>
      </c>
      <c r="B1" s="29" t="s">
        <v>186</v>
      </c>
      <c r="C1" s="28" t="s">
        <v>187</v>
      </c>
      <c r="D1" s="29" t="s">
        <v>202</v>
      </c>
      <c r="E1" s="29" t="s">
        <v>203</v>
      </c>
      <c r="F1" s="29" t="s">
        <v>204</v>
      </c>
      <c r="G1" s="29" t="s">
        <v>205</v>
      </c>
      <c r="H1" s="29" t="s">
        <v>206</v>
      </c>
      <c r="I1" s="29" t="s">
        <v>207</v>
      </c>
      <c r="J1" s="29" t="s">
        <v>185</v>
      </c>
      <c r="K1" s="29" t="s">
        <v>196</v>
      </c>
      <c r="L1" s="29" t="s">
        <v>197</v>
      </c>
      <c r="M1" s="29" t="s">
        <v>184</v>
      </c>
      <c r="N1" s="29" t="s">
        <v>198</v>
      </c>
      <c r="O1" s="29" t="s">
        <v>188</v>
      </c>
      <c r="P1" s="29" t="s">
        <v>190</v>
      </c>
      <c r="Q1" s="29" t="s">
        <v>208</v>
      </c>
      <c r="R1" s="29" t="s">
        <v>199</v>
      </c>
      <c r="S1" s="29" t="s">
        <v>191</v>
      </c>
      <c r="T1" s="29" t="s">
        <v>201</v>
      </c>
      <c r="U1" s="29" t="s">
        <v>200</v>
      </c>
      <c r="V1" s="29" t="s">
        <v>189</v>
      </c>
    </row>
    <row r="2" spans="1:22" s="52" customFormat="1" ht="12.75">
      <c r="A2" s="46" t="str">
        <f>(TRANSFORMERS!A2)</f>
        <v>ETF000085</v>
      </c>
      <c r="B2" s="31">
        <v>50000</v>
      </c>
      <c r="C2" s="47" t="s">
        <v>195</v>
      </c>
      <c r="D2" s="31">
        <v>150000</v>
      </c>
      <c r="E2" s="31">
        <v>20000</v>
      </c>
      <c r="F2" s="31">
        <v>192</v>
      </c>
      <c r="G2" s="31">
        <v>1443</v>
      </c>
      <c r="H2" s="47" t="s">
        <v>193</v>
      </c>
      <c r="I2" s="47" t="s">
        <v>216</v>
      </c>
      <c r="J2" s="47" t="str">
        <f>IF(E2&gt;D2,"Step Up","Step Down")</f>
        <v>Step Down</v>
      </c>
      <c r="K2" s="31" t="s">
        <v>21</v>
      </c>
      <c r="L2" s="31">
        <v>2012</v>
      </c>
      <c r="M2" s="31" t="s">
        <v>22</v>
      </c>
      <c r="N2" s="31" t="s">
        <v>23</v>
      </c>
      <c r="O2" s="47">
        <v>50</v>
      </c>
      <c r="P2" s="47" t="s">
        <v>192</v>
      </c>
      <c r="Q2" s="31" t="s">
        <v>24</v>
      </c>
      <c r="R2" s="47"/>
      <c r="S2" s="47"/>
      <c r="T2" s="31">
        <v>71500</v>
      </c>
      <c r="U2" s="47" t="s">
        <v>192</v>
      </c>
      <c r="V2" s="47"/>
    </row>
    <row r="3" spans="1:22" s="53" customFormat="1">
      <c r="A3" s="46" t="str">
        <f>(TRANSFORMERS!A3)</f>
        <v>ETF000027</v>
      </c>
      <c r="B3" s="31">
        <v>45000</v>
      </c>
      <c r="C3" s="47" t="s">
        <v>195</v>
      </c>
      <c r="D3" s="31">
        <v>11000</v>
      </c>
      <c r="E3" s="31">
        <v>20000</v>
      </c>
      <c r="F3" s="31" t="s">
        <v>33</v>
      </c>
      <c r="G3" s="31" t="s">
        <v>210</v>
      </c>
      <c r="H3" s="48"/>
      <c r="I3" s="48"/>
      <c r="J3" s="47" t="str">
        <f t="shared" ref="J3:J27" si="0">IF(E3&gt;D3,"Step Up","Step Down")</f>
        <v>Step Up</v>
      </c>
      <c r="K3" s="31" t="s">
        <v>28</v>
      </c>
      <c r="L3" s="31">
        <v>1995</v>
      </c>
      <c r="M3" s="31" t="s">
        <v>29</v>
      </c>
      <c r="N3" s="31" t="s">
        <v>30</v>
      </c>
      <c r="O3" s="47">
        <v>50</v>
      </c>
      <c r="P3" s="48"/>
      <c r="Q3" s="31" t="s">
        <v>31</v>
      </c>
      <c r="R3" s="48"/>
      <c r="S3" s="48"/>
      <c r="T3" s="31">
        <v>8800</v>
      </c>
      <c r="U3" s="48"/>
      <c r="V3" s="48"/>
    </row>
    <row r="4" spans="1:22" s="53" customFormat="1">
      <c r="A4" s="46" t="str">
        <f>(TRANSFORMERS!A4)</f>
        <v>ETF000060</v>
      </c>
      <c r="B4" s="31">
        <v>45000</v>
      </c>
      <c r="C4" s="47" t="s">
        <v>195</v>
      </c>
      <c r="D4" s="31">
        <v>11000</v>
      </c>
      <c r="E4" s="31" t="s">
        <v>40</v>
      </c>
      <c r="F4" s="31" t="s">
        <v>41</v>
      </c>
      <c r="G4" s="31" t="s">
        <v>210</v>
      </c>
      <c r="H4" s="48"/>
      <c r="I4" s="48"/>
      <c r="J4" s="47" t="str">
        <f t="shared" si="0"/>
        <v>Step Up</v>
      </c>
      <c r="K4" s="31" t="s">
        <v>28</v>
      </c>
      <c r="L4" s="31" t="s">
        <v>39</v>
      </c>
      <c r="M4" s="31" t="s">
        <v>38</v>
      </c>
      <c r="N4" s="31" t="s">
        <v>30</v>
      </c>
      <c r="O4" s="47">
        <v>50</v>
      </c>
      <c r="P4" s="48"/>
      <c r="Q4" s="31" t="s">
        <v>31</v>
      </c>
      <c r="R4" s="48"/>
      <c r="S4" s="48"/>
      <c r="T4" s="31">
        <v>8470</v>
      </c>
      <c r="U4" s="48"/>
      <c r="V4" s="48"/>
    </row>
    <row r="5" spans="1:22" s="53" customFormat="1">
      <c r="A5" s="46" t="str">
        <f>(TRANSFORMERS!A5)</f>
        <v>ETF000026</v>
      </c>
      <c r="B5" s="31">
        <v>1000</v>
      </c>
      <c r="C5" s="47" t="s">
        <v>195</v>
      </c>
      <c r="D5" s="31">
        <v>20000</v>
      </c>
      <c r="E5" s="31" t="s">
        <v>50</v>
      </c>
      <c r="F5" s="31" t="s">
        <v>51</v>
      </c>
      <c r="G5" s="31">
        <v>1443</v>
      </c>
      <c r="H5" s="48"/>
      <c r="I5" s="48"/>
      <c r="J5" s="47" t="str">
        <f t="shared" si="0"/>
        <v>Step Up</v>
      </c>
      <c r="K5" s="31" t="s">
        <v>28</v>
      </c>
      <c r="L5" s="31" t="s">
        <v>47</v>
      </c>
      <c r="M5" s="31" t="s">
        <v>46</v>
      </c>
      <c r="N5" s="31" t="s">
        <v>48</v>
      </c>
      <c r="O5" s="47">
        <v>50</v>
      </c>
      <c r="P5" s="48"/>
      <c r="Q5" s="31" t="s">
        <v>49</v>
      </c>
      <c r="R5" s="48"/>
      <c r="S5" s="48"/>
      <c r="T5" s="31">
        <v>510</v>
      </c>
      <c r="U5" s="48"/>
      <c r="V5" s="48"/>
    </row>
    <row r="6" spans="1:22" s="53" customFormat="1">
      <c r="A6" s="46" t="str">
        <f>(TRANSFORMERS!A6)</f>
        <v>ETF000059</v>
      </c>
      <c r="B6" s="31">
        <v>2500</v>
      </c>
      <c r="C6" s="47" t="s">
        <v>195</v>
      </c>
      <c r="D6" s="31">
        <v>20000</v>
      </c>
      <c r="E6" s="31" t="s">
        <v>50</v>
      </c>
      <c r="F6" s="31" t="s">
        <v>59</v>
      </c>
      <c r="G6" s="31" t="s">
        <v>211</v>
      </c>
      <c r="H6" s="48"/>
      <c r="I6" s="48"/>
      <c r="J6" s="47" t="str">
        <f t="shared" si="0"/>
        <v>Step Up</v>
      </c>
      <c r="K6" s="31" t="s">
        <v>55</v>
      </c>
      <c r="L6" s="31" t="s">
        <v>57</v>
      </c>
      <c r="M6" s="31" t="s">
        <v>56</v>
      </c>
      <c r="N6" s="31" t="s">
        <v>58</v>
      </c>
      <c r="O6" s="47">
        <v>50</v>
      </c>
      <c r="P6" s="48"/>
      <c r="Q6" s="31" t="s">
        <v>49</v>
      </c>
      <c r="R6" s="48"/>
      <c r="S6" s="48"/>
      <c r="T6" s="31"/>
      <c r="U6" s="48"/>
      <c r="V6" s="48"/>
    </row>
    <row r="7" spans="1:22" s="53" customFormat="1">
      <c r="A7" s="46" t="str">
        <f>(TRANSFORMERS!A7)</f>
        <v>ETF000120</v>
      </c>
      <c r="B7" s="31">
        <v>3000</v>
      </c>
      <c r="C7" s="47" t="s">
        <v>195</v>
      </c>
      <c r="D7" s="31">
        <v>20000</v>
      </c>
      <c r="E7" s="31" t="s">
        <v>50</v>
      </c>
      <c r="F7" s="31" t="s">
        <v>67</v>
      </c>
      <c r="G7" s="31">
        <v>4330</v>
      </c>
      <c r="H7" s="48"/>
      <c r="I7" s="48"/>
      <c r="J7" s="47" t="str">
        <f t="shared" si="0"/>
        <v>Step Up</v>
      </c>
      <c r="K7" s="31" t="s">
        <v>64</v>
      </c>
      <c r="L7" s="31" t="s">
        <v>66</v>
      </c>
      <c r="M7" s="31" t="s">
        <v>65</v>
      </c>
      <c r="N7" s="31" t="s">
        <v>58</v>
      </c>
      <c r="O7" s="47">
        <v>50</v>
      </c>
      <c r="P7" s="48"/>
      <c r="Q7" s="31" t="s">
        <v>49</v>
      </c>
      <c r="R7" s="48"/>
      <c r="S7" s="48"/>
      <c r="T7" s="31">
        <v>1815</v>
      </c>
      <c r="U7" s="48"/>
      <c r="V7" s="48"/>
    </row>
    <row r="8" spans="1:22" s="53" customFormat="1">
      <c r="A8" s="46" t="str">
        <f>(TRANSFORMERS!A8)</f>
        <v>ETF000123</v>
      </c>
      <c r="B8" s="31">
        <v>2500</v>
      </c>
      <c r="C8" s="47" t="s">
        <v>195</v>
      </c>
      <c r="D8" s="31">
        <v>20000</v>
      </c>
      <c r="E8" s="31">
        <v>400</v>
      </c>
      <c r="F8" s="31" t="s">
        <v>74</v>
      </c>
      <c r="G8" s="31">
        <v>3608</v>
      </c>
      <c r="H8" s="48"/>
      <c r="I8" s="48"/>
      <c r="J8" s="47" t="str">
        <f t="shared" si="0"/>
        <v>Step Down</v>
      </c>
      <c r="K8" s="31" t="s">
        <v>21</v>
      </c>
      <c r="L8" s="31" t="s">
        <v>72</v>
      </c>
      <c r="M8" s="31" t="s">
        <v>71</v>
      </c>
      <c r="N8" s="31" t="s">
        <v>58</v>
      </c>
      <c r="O8" s="47">
        <v>50</v>
      </c>
      <c r="P8" s="48"/>
      <c r="Q8" s="31" t="s">
        <v>73</v>
      </c>
      <c r="R8" s="48"/>
      <c r="S8" s="48"/>
      <c r="T8" s="31">
        <v>5750</v>
      </c>
      <c r="U8" s="48"/>
      <c r="V8" s="48"/>
    </row>
    <row r="9" spans="1:22" s="53" customFormat="1">
      <c r="A9" s="46" t="str">
        <f>(TRANSFORMERS!A9)</f>
        <v>ETF000006</v>
      </c>
      <c r="B9" s="31">
        <v>3000</v>
      </c>
      <c r="C9" s="47" t="s">
        <v>195</v>
      </c>
      <c r="D9" s="31">
        <v>20000</v>
      </c>
      <c r="E9" s="31">
        <v>400</v>
      </c>
      <c r="F9" s="31" t="s">
        <v>67</v>
      </c>
      <c r="G9" s="31" t="s">
        <v>212</v>
      </c>
      <c r="H9" s="48"/>
      <c r="I9" s="48"/>
      <c r="J9" s="47" t="str">
        <f t="shared" si="0"/>
        <v>Step Down</v>
      </c>
      <c r="K9" s="31" t="s">
        <v>55</v>
      </c>
      <c r="L9" s="31">
        <v>2010</v>
      </c>
      <c r="M9" s="31">
        <v>10338949</v>
      </c>
      <c r="N9" s="31" t="s">
        <v>58</v>
      </c>
      <c r="O9" s="47">
        <v>50</v>
      </c>
      <c r="P9" s="48"/>
      <c r="Q9" s="31" t="s">
        <v>49</v>
      </c>
      <c r="R9" s="48"/>
      <c r="S9" s="48"/>
      <c r="T9" s="31"/>
      <c r="U9" s="48"/>
      <c r="V9" s="48"/>
    </row>
    <row r="10" spans="1:22" s="53" customFormat="1">
      <c r="A10" s="46" t="str">
        <f>(TRANSFORMERS!A10)</f>
        <v>ETF000032</v>
      </c>
      <c r="B10" s="31">
        <v>2500</v>
      </c>
      <c r="C10" s="47" t="s">
        <v>195</v>
      </c>
      <c r="D10" s="31">
        <v>20000</v>
      </c>
      <c r="E10" s="31">
        <v>400</v>
      </c>
      <c r="F10" s="31" t="s">
        <v>209</v>
      </c>
      <c r="G10" s="31" t="s">
        <v>142</v>
      </c>
      <c r="H10" s="48"/>
      <c r="I10" s="48"/>
      <c r="J10" s="47" t="str">
        <f t="shared" si="0"/>
        <v>Step Down</v>
      </c>
      <c r="K10" s="31" t="s">
        <v>21</v>
      </c>
      <c r="L10" s="31">
        <v>1994</v>
      </c>
      <c r="M10" s="31">
        <v>60952</v>
      </c>
      <c r="N10" s="31" t="s">
        <v>58</v>
      </c>
      <c r="O10" s="47">
        <v>50</v>
      </c>
      <c r="P10" s="48"/>
      <c r="Q10" s="31" t="s">
        <v>49</v>
      </c>
      <c r="R10" s="48"/>
      <c r="S10" s="48"/>
      <c r="T10" s="31">
        <v>5750</v>
      </c>
      <c r="U10" s="48"/>
      <c r="V10" s="48"/>
    </row>
    <row r="11" spans="1:22" s="53" customFormat="1">
      <c r="A11" s="46" t="str">
        <f>(TRANSFORMERS!A11)</f>
        <v>ETF000091</v>
      </c>
      <c r="B11" s="49">
        <v>55000</v>
      </c>
      <c r="C11" s="47" t="s">
        <v>195</v>
      </c>
      <c r="D11" s="49">
        <v>380</v>
      </c>
      <c r="E11" s="49">
        <v>66000</v>
      </c>
      <c r="F11" s="49"/>
      <c r="G11" s="49"/>
      <c r="H11" s="48"/>
      <c r="I11" s="48"/>
      <c r="J11" s="47" t="str">
        <f t="shared" si="0"/>
        <v>Step Up</v>
      </c>
      <c r="K11" s="49" t="s">
        <v>85</v>
      </c>
      <c r="L11" s="50">
        <v>2011</v>
      </c>
      <c r="M11" s="50">
        <v>2011466</v>
      </c>
      <c r="N11" s="49" t="s">
        <v>86</v>
      </c>
      <c r="O11" s="47">
        <v>50</v>
      </c>
      <c r="P11" s="48"/>
      <c r="Q11" s="49" t="s">
        <v>86</v>
      </c>
      <c r="R11" s="48"/>
      <c r="S11" s="48"/>
      <c r="T11" s="49"/>
      <c r="U11" s="48"/>
      <c r="V11" s="48"/>
    </row>
    <row r="12" spans="1:22" s="53" customFormat="1">
      <c r="A12" s="46" t="str">
        <f>(TRANSFORMERS!A12)</f>
        <v>ETF000092</v>
      </c>
      <c r="B12" s="49">
        <v>55000</v>
      </c>
      <c r="C12" s="47" t="s">
        <v>195</v>
      </c>
      <c r="D12" s="49">
        <v>380</v>
      </c>
      <c r="E12" s="49">
        <v>66000</v>
      </c>
      <c r="F12" s="49"/>
      <c r="G12" s="49"/>
      <c r="H12" s="48"/>
      <c r="I12" s="48"/>
      <c r="J12" s="47" t="str">
        <f t="shared" si="0"/>
        <v>Step Up</v>
      </c>
      <c r="K12" s="49" t="s">
        <v>85</v>
      </c>
      <c r="L12" s="50">
        <v>2011</v>
      </c>
      <c r="M12" s="50">
        <v>2011465</v>
      </c>
      <c r="N12" s="49" t="s">
        <v>86</v>
      </c>
      <c r="O12" s="47">
        <v>50</v>
      </c>
      <c r="P12" s="48"/>
      <c r="Q12" s="49" t="s">
        <v>86</v>
      </c>
      <c r="R12" s="48"/>
      <c r="S12" s="48"/>
      <c r="T12" s="49"/>
      <c r="U12" s="48"/>
      <c r="V12" s="48"/>
    </row>
    <row r="13" spans="1:22" s="53" customFormat="1">
      <c r="A13" s="46" t="str">
        <f>(TRANSFORMERS!A13)</f>
        <v>ETF000093</v>
      </c>
      <c r="B13" s="49">
        <v>55000</v>
      </c>
      <c r="C13" s="47" t="s">
        <v>195</v>
      </c>
      <c r="D13" s="49">
        <v>380</v>
      </c>
      <c r="E13" s="49">
        <v>66000</v>
      </c>
      <c r="F13" s="49"/>
      <c r="G13" s="49"/>
      <c r="H13" s="48"/>
      <c r="I13" s="48"/>
      <c r="J13" s="47" t="str">
        <f t="shared" si="0"/>
        <v>Step Up</v>
      </c>
      <c r="K13" s="49" t="s">
        <v>85</v>
      </c>
      <c r="L13" s="50">
        <v>2011</v>
      </c>
      <c r="M13" s="50">
        <v>2011464</v>
      </c>
      <c r="N13" s="49" t="s">
        <v>86</v>
      </c>
      <c r="O13" s="47">
        <v>50</v>
      </c>
      <c r="P13" s="48"/>
      <c r="Q13" s="49" t="s">
        <v>86</v>
      </c>
      <c r="R13" s="48"/>
      <c r="S13" s="48"/>
      <c r="T13" s="49"/>
      <c r="U13" s="48"/>
      <c r="V13" s="48"/>
    </row>
    <row r="14" spans="1:22" s="53" customFormat="1">
      <c r="A14" s="46" t="str">
        <f>(TRANSFORMERS!A14)</f>
        <v>ETF000105</v>
      </c>
      <c r="B14" s="49">
        <v>55000</v>
      </c>
      <c r="C14" s="47" t="s">
        <v>195</v>
      </c>
      <c r="D14" s="49">
        <v>380</v>
      </c>
      <c r="E14" s="49">
        <v>66000</v>
      </c>
      <c r="F14" s="49"/>
      <c r="G14" s="49"/>
      <c r="H14" s="48"/>
      <c r="I14" s="48"/>
      <c r="J14" s="47" t="str">
        <f t="shared" si="0"/>
        <v>Step Up</v>
      </c>
      <c r="K14" s="49" t="s">
        <v>85</v>
      </c>
      <c r="L14" s="50">
        <v>2015</v>
      </c>
      <c r="M14" s="50">
        <v>2015535</v>
      </c>
      <c r="N14" s="49" t="s">
        <v>86</v>
      </c>
      <c r="O14" s="47">
        <v>50</v>
      </c>
      <c r="P14" s="48"/>
      <c r="Q14" s="49" t="s">
        <v>86</v>
      </c>
      <c r="R14" s="48"/>
      <c r="S14" s="48"/>
      <c r="T14" s="49"/>
      <c r="U14" s="48"/>
      <c r="V14" s="48"/>
    </row>
    <row r="15" spans="1:22" s="53" customFormat="1">
      <c r="A15" s="46" t="str">
        <f>(TRANSFORMERS!A15)</f>
        <v>ETF000106</v>
      </c>
      <c r="B15" s="49">
        <v>55000</v>
      </c>
      <c r="C15" s="47" t="s">
        <v>195</v>
      </c>
      <c r="D15" s="49">
        <v>380</v>
      </c>
      <c r="E15" s="49">
        <v>66000</v>
      </c>
      <c r="F15" s="49"/>
      <c r="G15" s="49"/>
      <c r="H15" s="48"/>
      <c r="I15" s="48"/>
      <c r="J15" s="47" t="str">
        <f t="shared" si="0"/>
        <v>Step Up</v>
      </c>
      <c r="K15" s="49" t="s">
        <v>85</v>
      </c>
      <c r="L15" s="50">
        <v>2015</v>
      </c>
      <c r="M15" s="50">
        <v>2015534</v>
      </c>
      <c r="N15" s="49" t="s">
        <v>86</v>
      </c>
      <c r="O15" s="47">
        <v>50</v>
      </c>
      <c r="P15" s="48"/>
      <c r="Q15" s="49" t="s">
        <v>86</v>
      </c>
      <c r="R15" s="48"/>
      <c r="S15" s="48"/>
      <c r="T15" s="49"/>
      <c r="U15" s="48"/>
      <c r="V15" s="48"/>
    </row>
    <row r="16" spans="1:22" s="53" customFormat="1">
      <c r="A16" s="46" t="str">
        <f>(TRANSFORMERS!A16)</f>
        <v>ETF000107</v>
      </c>
      <c r="B16" s="49">
        <v>55000</v>
      </c>
      <c r="C16" s="47" t="s">
        <v>195</v>
      </c>
      <c r="D16" s="49">
        <v>380</v>
      </c>
      <c r="E16" s="49">
        <v>66000</v>
      </c>
      <c r="F16" s="49"/>
      <c r="G16" s="49"/>
      <c r="H16" s="48"/>
      <c r="I16" s="48"/>
      <c r="J16" s="47" t="str">
        <f t="shared" si="0"/>
        <v>Step Up</v>
      </c>
      <c r="K16" s="49" t="s">
        <v>85</v>
      </c>
      <c r="L16" s="50">
        <v>2015</v>
      </c>
      <c r="M16" s="50">
        <v>2015533</v>
      </c>
      <c r="N16" s="49" t="s">
        <v>86</v>
      </c>
      <c r="O16" s="47">
        <v>50</v>
      </c>
      <c r="P16" s="48"/>
      <c r="Q16" s="49" t="s">
        <v>86</v>
      </c>
      <c r="R16" s="48"/>
      <c r="S16" s="48"/>
      <c r="T16" s="49"/>
      <c r="U16" s="48"/>
      <c r="V16" s="48"/>
    </row>
    <row r="17" spans="1:22" s="53" customFormat="1">
      <c r="A17" s="46" t="str">
        <f>(TRANSFORMERS!A17)</f>
        <v>ETF000108</v>
      </c>
      <c r="B17" s="49">
        <v>55000</v>
      </c>
      <c r="C17" s="47" t="s">
        <v>195</v>
      </c>
      <c r="D17" s="49">
        <v>380</v>
      </c>
      <c r="E17" s="49">
        <v>66000</v>
      </c>
      <c r="F17" s="49"/>
      <c r="G17" s="49"/>
      <c r="H17" s="48"/>
      <c r="I17" s="48"/>
      <c r="J17" s="47" t="str">
        <f t="shared" si="0"/>
        <v>Step Up</v>
      </c>
      <c r="K17" s="49" t="s">
        <v>85</v>
      </c>
      <c r="L17" s="50">
        <v>2015</v>
      </c>
      <c r="M17" s="31"/>
      <c r="N17" s="49" t="s">
        <v>86</v>
      </c>
      <c r="O17" s="47">
        <v>50</v>
      </c>
      <c r="P17" s="48"/>
      <c r="Q17" s="49" t="s">
        <v>86</v>
      </c>
      <c r="R17" s="48"/>
      <c r="S17" s="48"/>
      <c r="T17" s="49"/>
      <c r="U17" s="48"/>
      <c r="V17" s="48"/>
    </row>
    <row r="18" spans="1:22" s="53" customFormat="1">
      <c r="A18" s="46" t="str">
        <f>(TRANSFORMERS!A18)</f>
        <v>ETF000109</v>
      </c>
      <c r="B18" s="49">
        <v>55000</v>
      </c>
      <c r="C18" s="47" t="s">
        <v>195</v>
      </c>
      <c r="D18" s="49">
        <v>380</v>
      </c>
      <c r="E18" s="49">
        <v>66000</v>
      </c>
      <c r="F18" s="49"/>
      <c r="G18" s="49"/>
      <c r="H18" s="48"/>
      <c r="I18" s="48"/>
      <c r="J18" s="47" t="str">
        <f t="shared" si="0"/>
        <v>Step Up</v>
      </c>
      <c r="K18" s="49" t="s">
        <v>85</v>
      </c>
      <c r="L18" s="50">
        <v>2015</v>
      </c>
      <c r="M18" s="31"/>
      <c r="N18" s="49" t="s">
        <v>86</v>
      </c>
      <c r="O18" s="47">
        <v>50</v>
      </c>
      <c r="P18" s="48"/>
      <c r="Q18" s="49" t="s">
        <v>86</v>
      </c>
      <c r="R18" s="48"/>
      <c r="S18" s="48"/>
      <c r="T18" s="49"/>
      <c r="U18" s="48"/>
      <c r="V18" s="48"/>
    </row>
    <row r="19" spans="1:22" s="53" customFormat="1">
      <c r="A19" s="46" t="str">
        <f>(TRANSFORMERS!A19)</f>
        <v>ETF000110</v>
      </c>
      <c r="B19" s="49">
        <v>55000</v>
      </c>
      <c r="C19" s="47" t="s">
        <v>195</v>
      </c>
      <c r="D19" s="49">
        <v>380</v>
      </c>
      <c r="E19" s="49">
        <v>66000</v>
      </c>
      <c r="F19" s="49"/>
      <c r="G19" s="49"/>
      <c r="H19" s="48"/>
      <c r="I19" s="48"/>
      <c r="J19" s="47" t="str">
        <f t="shared" si="0"/>
        <v>Step Up</v>
      </c>
      <c r="K19" s="49" t="s">
        <v>85</v>
      </c>
      <c r="L19" s="50">
        <v>2015</v>
      </c>
      <c r="M19" s="31"/>
      <c r="N19" s="49" t="s">
        <v>86</v>
      </c>
      <c r="O19" s="47">
        <v>50</v>
      </c>
      <c r="P19" s="48"/>
      <c r="Q19" s="49" t="s">
        <v>86</v>
      </c>
      <c r="R19" s="48"/>
      <c r="S19" s="48"/>
      <c r="T19" s="49"/>
      <c r="U19" s="48"/>
      <c r="V19" s="48"/>
    </row>
    <row r="20" spans="1:22" s="53" customFormat="1">
      <c r="A20" s="46" t="str">
        <f>(TRANSFORMERS!A20)</f>
        <v>ETF000113</v>
      </c>
      <c r="B20" s="31">
        <v>75000</v>
      </c>
      <c r="C20" s="47" t="s">
        <v>195</v>
      </c>
      <c r="D20" s="31">
        <v>10500</v>
      </c>
      <c r="E20" s="31">
        <v>22000</v>
      </c>
      <c r="F20" s="31" t="s">
        <v>126</v>
      </c>
      <c r="G20" s="31">
        <v>1575</v>
      </c>
      <c r="H20" s="48"/>
      <c r="I20" s="48"/>
      <c r="J20" s="47" t="str">
        <f t="shared" si="0"/>
        <v>Step Up</v>
      </c>
      <c r="K20" s="31" t="s">
        <v>64</v>
      </c>
      <c r="L20" s="31" t="s">
        <v>125</v>
      </c>
      <c r="M20" s="31" t="s">
        <v>124</v>
      </c>
      <c r="N20" s="31" t="s">
        <v>30</v>
      </c>
      <c r="O20" s="47">
        <v>50</v>
      </c>
      <c r="P20" s="48"/>
      <c r="Q20" s="31" t="s">
        <v>24</v>
      </c>
      <c r="R20" s="48"/>
      <c r="S20" s="48"/>
      <c r="T20" s="31">
        <v>80000</v>
      </c>
      <c r="U20" s="48"/>
      <c r="V20" s="48"/>
    </row>
    <row r="21" spans="1:22" s="53" customFormat="1">
      <c r="A21" s="46" t="str">
        <f>(TRANSFORMERS!A21)</f>
        <v>ETF000111</v>
      </c>
      <c r="B21" s="31">
        <v>12000</v>
      </c>
      <c r="C21" s="47" t="s">
        <v>195</v>
      </c>
      <c r="D21" s="31">
        <v>22000</v>
      </c>
      <c r="E21" s="31">
        <v>3150</v>
      </c>
      <c r="F21" s="31" t="s">
        <v>132</v>
      </c>
      <c r="G21" s="31" t="s">
        <v>213</v>
      </c>
      <c r="H21" s="48"/>
      <c r="I21" s="48"/>
      <c r="J21" s="47" t="str">
        <f t="shared" si="0"/>
        <v>Step Down</v>
      </c>
      <c r="K21" s="31" t="s">
        <v>64</v>
      </c>
      <c r="L21" s="31" t="s">
        <v>66</v>
      </c>
      <c r="M21" s="31" t="s">
        <v>130</v>
      </c>
      <c r="N21" s="31" t="s">
        <v>131</v>
      </c>
      <c r="O21" s="47">
        <v>50</v>
      </c>
      <c r="P21" s="48"/>
      <c r="Q21" s="31" t="s">
        <v>24</v>
      </c>
      <c r="R21" s="48"/>
      <c r="S21" s="48"/>
      <c r="T21" s="31">
        <v>25800</v>
      </c>
      <c r="U21" s="48"/>
      <c r="V21" s="48"/>
    </row>
    <row r="22" spans="1:22" s="53" customFormat="1">
      <c r="A22" s="46" t="str">
        <f>(TRANSFORMERS!A22)</f>
        <v>ETF000112</v>
      </c>
      <c r="B22" s="31">
        <v>12000</v>
      </c>
      <c r="C22" s="47" t="s">
        <v>195</v>
      </c>
      <c r="D22" s="31">
        <v>10500</v>
      </c>
      <c r="E22" s="31">
        <v>3150</v>
      </c>
      <c r="F22" s="31" t="s">
        <v>137</v>
      </c>
      <c r="G22" s="31" t="s">
        <v>213</v>
      </c>
      <c r="H22" s="48"/>
      <c r="I22" s="48"/>
      <c r="J22" s="47" t="str">
        <f t="shared" si="0"/>
        <v>Step Down</v>
      </c>
      <c r="K22" s="31" t="s">
        <v>64</v>
      </c>
      <c r="L22" s="31" t="s">
        <v>66</v>
      </c>
      <c r="M22" s="31" t="s">
        <v>136</v>
      </c>
      <c r="N22" s="31" t="s">
        <v>131</v>
      </c>
      <c r="O22" s="47">
        <v>50</v>
      </c>
      <c r="P22" s="48"/>
      <c r="Q22" s="31" t="s">
        <v>24</v>
      </c>
      <c r="R22" s="48"/>
      <c r="S22" s="48"/>
      <c r="T22" s="31">
        <v>22000</v>
      </c>
      <c r="U22" s="48"/>
      <c r="V22" s="48"/>
    </row>
    <row r="23" spans="1:22" s="53" customFormat="1">
      <c r="A23" s="46" t="str">
        <f>(TRANSFORMERS!A23)</f>
        <v>ETF000114</v>
      </c>
      <c r="B23" s="31">
        <v>2500</v>
      </c>
      <c r="C23" s="47" t="s">
        <v>195</v>
      </c>
      <c r="D23" s="31">
        <v>3000</v>
      </c>
      <c r="E23" s="31">
        <v>400</v>
      </c>
      <c r="F23" s="31" t="s">
        <v>142</v>
      </c>
      <c r="G23" s="31">
        <v>1575</v>
      </c>
      <c r="H23" s="48"/>
      <c r="I23" s="48"/>
      <c r="J23" s="47" t="str">
        <f t="shared" si="0"/>
        <v>Step Down</v>
      </c>
      <c r="K23" s="31" t="s">
        <v>64</v>
      </c>
      <c r="L23" s="31" t="s">
        <v>66</v>
      </c>
      <c r="M23" s="31" t="s">
        <v>141</v>
      </c>
      <c r="N23" s="31" t="s">
        <v>48</v>
      </c>
      <c r="O23" s="47">
        <v>50</v>
      </c>
      <c r="P23" s="48"/>
      <c r="Q23" s="31" t="s">
        <v>24</v>
      </c>
      <c r="R23" s="48"/>
      <c r="S23" s="48"/>
      <c r="T23" s="31">
        <v>5500</v>
      </c>
      <c r="U23" s="48"/>
      <c r="V23" s="48"/>
    </row>
    <row r="24" spans="1:22" s="53" customFormat="1">
      <c r="A24" s="46" t="str">
        <f>(TRANSFORMERS!A24)</f>
        <v>ETF000115</v>
      </c>
      <c r="B24" s="31">
        <v>2500</v>
      </c>
      <c r="C24" s="47" t="s">
        <v>195</v>
      </c>
      <c r="D24" s="31">
        <v>3000</v>
      </c>
      <c r="E24" s="31">
        <v>400</v>
      </c>
      <c r="F24" s="31" t="s">
        <v>142</v>
      </c>
      <c r="G24" s="31">
        <v>1575</v>
      </c>
      <c r="H24" s="48"/>
      <c r="I24" s="48"/>
      <c r="J24" s="47" t="str">
        <f t="shared" si="0"/>
        <v>Step Down</v>
      </c>
      <c r="K24" s="31" t="s">
        <v>64</v>
      </c>
      <c r="L24" s="31" t="s">
        <v>66</v>
      </c>
      <c r="M24" s="31" t="s">
        <v>146</v>
      </c>
      <c r="N24" s="31" t="s">
        <v>48</v>
      </c>
      <c r="O24" s="47">
        <v>50</v>
      </c>
      <c r="P24" s="48"/>
      <c r="Q24" s="31" t="s">
        <v>24</v>
      </c>
      <c r="R24" s="48"/>
      <c r="S24" s="48"/>
      <c r="T24" s="31">
        <v>5500</v>
      </c>
      <c r="U24" s="48"/>
      <c r="V24" s="48"/>
    </row>
    <row r="25" spans="1:22" s="53" customFormat="1">
      <c r="A25" s="51" t="str">
        <f>(TRANSFORMERS!A25)</f>
        <v>ETF000124</v>
      </c>
      <c r="B25" s="31">
        <v>3000</v>
      </c>
      <c r="C25" s="47" t="s">
        <v>195</v>
      </c>
      <c r="D25" s="31">
        <v>20000</v>
      </c>
      <c r="E25" s="31" t="s">
        <v>50</v>
      </c>
      <c r="F25" s="31" t="s">
        <v>152</v>
      </c>
      <c r="G25" s="31" t="s">
        <v>214</v>
      </c>
      <c r="H25" s="48"/>
      <c r="I25" s="48"/>
      <c r="J25" s="47" t="str">
        <f t="shared" si="0"/>
        <v>Step Up</v>
      </c>
      <c r="K25" s="31" t="s">
        <v>149</v>
      </c>
      <c r="L25" s="31" t="s">
        <v>151</v>
      </c>
      <c r="M25" s="31" t="s">
        <v>150</v>
      </c>
      <c r="N25" s="31" t="s">
        <v>58</v>
      </c>
      <c r="O25" s="47">
        <v>50</v>
      </c>
      <c r="P25" s="48"/>
      <c r="Q25" s="31" t="s">
        <v>49</v>
      </c>
      <c r="R25" s="48"/>
      <c r="S25" s="48"/>
      <c r="T25" s="31">
        <v>7330</v>
      </c>
      <c r="U25" s="48"/>
      <c r="V25" s="48"/>
    </row>
    <row r="26" spans="1:22" s="53" customFormat="1">
      <c r="A26" s="51" t="str">
        <f>(TRANSFORMERS!A26)</f>
        <v>ETF000125</v>
      </c>
      <c r="B26" s="31">
        <v>3000</v>
      </c>
      <c r="C26" s="47" t="s">
        <v>195</v>
      </c>
      <c r="D26" s="31">
        <v>20000</v>
      </c>
      <c r="E26" s="31">
        <v>400</v>
      </c>
      <c r="F26" s="31" t="s">
        <v>67</v>
      </c>
      <c r="G26" s="31">
        <v>4330</v>
      </c>
      <c r="H26" s="48"/>
      <c r="I26" s="48"/>
      <c r="J26" s="47" t="str">
        <f t="shared" si="0"/>
        <v>Step Down</v>
      </c>
      <c r="K26" s="31" t="s">
        <v>55</v>
      </c>
      <c r="L26" s="31" t="s">
        <v>156</v>
      </c>
      <c r="M26" s="31" t="s">
        <v>155</v>
      </c>
      <c r="N26" s="31" t="s">
        <v>58</v>
      </c>
      <c r="O26" s="47">
        <v>50</v>
      </c>
      <c r="P26" s="48"/>
      <c r="Q26" s="31" t="s">
        <v>24</v>
      </c>
      <c r="R26" s="48"/>
      <c r="S26" s="48"/>
      <c r="T26" s="31">
        <v>2060</v>
      </c>
      <c r="U26" s="48"/>
      <c r="V26" s="48"/>
    </row>
    <row r="27" spans="1:22" s="53" customFormat="1">
      <c r="A27" s="51" t="str">
        <f>(TRANSFORMERS!A27)</f>
        <v>ETF000126</v>
      </c>
      <c r="B27" s="31">
        <v>400</v>
      </c>
      <c r="C27" s="47" t="s">
        <v>195</v>
      </c>
      <c r="D27" s="31">
        <v>20000</v>
      </c>
      <c r="E27" s="31" t="s">
        <v>50</v>
      </c>
      <c r="F27" s="31" t="s">
        <v>163</v>
      </c>
      <c r="G27" s="31" t="s">
        <v>215</v>
      </c>
      <c r="H27" s="48"/>
      <c r="I27" s="48"/>
      <c r="J27" s="47" t="str">
        <f t="shared" si="0"/>
        <v>Step Up</v>
      </c>
      <c r="K27" s="31" t="s">
        <v>159</v>
      </c>
      <c r="L27" s="31" t="s">
        <v>57</v>
      </c>
      <c r="M27" s="31" t="s">
        <v>160</v>
      </c>
      <c r="N27" s="31" t="s">
        <v>48</v>
      </c>
      <c r="O27" s="47">
        <v>50</v>
      </c>
      <c r="P27" s="48"/>
      <c r="Q27" s="31" t="s">
        <v>161</v>
      </c>
      <c r="R27" s="48"/>
      <c r="S27" s="48"/>
      <c r="T27" s="31"/>
      <c r="U27" s="48"/>
      <c r="V27" s="48"/>
    </row>
  </sheetData>
  <conditionalFormatting sqref="A2:A27">
    <cfRule type="duplicateValues" dxfId="0" priority="16"/>
  </conditionalFormatting>
  <dataValidations count="2">
    <dataValidation type="list" allowBlank="1" showInputMessage="1" showErrorMessage="1" sqref="C2:C1048576" xr:uid="{6D479B6E-D6B2-4CC9-8855-5898B811C155}">
      <formula1>"kVA"</formula1>
    </dataValidation>
    <dataValidation type="list" allowBlank="1" showInputMessage="1" showErrorMessage="1" sqref="J2:J1048576" xr:uid="{0F5388A7-5BC1-416A-A910-6BAEB5A300BD}">
      <formula1>"Step Up,Step Down"</formula1>
    </dataValidation>
  </dataValidations>
  <pageMargins left="0.7" right="0.7" top="0.75" bottom="0.75" header="0.3" footer="0.3"/>
  <ignoredErrors>
    <ignoredError sqref="L4:R23 F3 F20 E4:E27 L25:R28 L24:M24 O24:R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29"/>
  <sheetViews>
    <sheetView zoomScale="85" zoomScaleNormal="85" workbookViewId="0">
      <selection activeCell="M17" sqref="M17"/>
    </sheetView>
  </sheetViews>
  <sheetFormatPr defaultColWidth="9.140625" defaultRowHeight="15"/>
  <cols>
    <col min="2" max="2" width="56.28515625" style="1" customWidth="1"/>
    <col min="3" max="3" width="20.42578125" customWidth="1"/>
    <col min="4" max="4" width="17.85546875" customWidth="1"/>
    <col min="5" max="5" width="14" customWidth="1"/>
    <col min="6" max="6" width="26.42578125" customWidth="1"/>
    <col min="7" max="7" width="19" customWidth="1"/>
    <col min="8" max="8" width="29.42578125" customWidth="1"/>
    <col min="9" max="9" width="8.42578125" customWidth="1"/>
    <col min="10" max="10" width="14.85546875" customWidth="1"/>
    <col min="11" max="11" width="21.7109375" customWidth="1"/>
    <col min="12" max="12" width="34.85546875" customWidth="1"/>
    <col min="13" max="13" width="39.42578125" customWidth="1"/>
    <col min="14" max="14" width="35.28515625" customWidth="1"/>
    <col min="15" max="15" width="34.42578125" customWidth="1"/>
    <col min="16" max="16" width="35.85546875" customWidth="1"/>
    <col min="17" max="17" width="36.85546875" customWidth="1"/>
    <col min="18" max="18" width="86.42578125" customWidth="1"/>
    <col min="19" max="19" width="23.140625" customWidth="1"/>
  </cols>
  <sheetData>
    <row r="3" spans="1:19" ht="18.7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12" t="s">
        <v>15</v>
      </c>
      <c r="Q3" s="14" t="s">
        <v>16</v>
      </c>
      <c r="R3" s="14" t="s">
        <v>17</v>
      </c>
      <c r="S3" s="2" t="s">
        <v>18</v>
      </c>
    </row>
    <row r="4" spans="1:19" ht="18.75">
      <c r="A4" s="2">
        <v>1</v>
      </c>
      <c r="B4" s="4" t="s">
        <v>19</v>
      </c>
      <c r="C4" s="5" t="s">
        <v>20</v>
      </c>
      <c r="D4" s="5" t="s">
        <v>21</v>
      </c>
      <c r="E4" s="5" t="s">
        <v>22</v>
      </c>
      <c r="F4" s="5">
        <v>2012</v>
      </c>
      <c r="G4" s="5" t="s">
        <v>23</v>
      </c>
      <c r="H4" s="5" t="s">
        <v>24</v>
      </c>
      <c r="I4" s="5"/>
      <c r="J4" s="13">
        <v>0.14299999999999999</v>
      </c>
      <c r="K4" s="5">
        <v>50000</v>
      </c>
      <c r="L4" s="14">
        <v>150</v>
      </c>
      <c r="M4" s="14">
        <v>20000</v>
      </c>
      <c r="N4" s="14">
        <v>192</v>
      </c>
      <c r="O4" s="14">
        <v>1443</v>
      </c>
      <c r="P4" s="12">
        <v>71500</v>
      </c>
      <c r="Q4" s="5"/>
      <c r="R4" s="4"/>
      <c r="S4" s="2" t="s">
        <v>25</v>
      </c>
    </row>
    <row r="5" spans="1:19" ht="18.75">
      <c r="A5" s="2">
        <v>2</v>
      </c>
      <c r="B5" s="6" t="s">
        <v>26</v>
      </c>
      <c r="C5" s="7" t="s">
        <v>27</v>
      </c>
      <c r="D5" s="7" t="s">
        <v>28</v>
      </c>
      <c r="E5" s="7" t="s">
        <v>29</v>
      </c>
      <c r="F5" s="5">
        <v>1995</v>
      </c>
      <c r="G5" s="7" t="s">
        <v>30</v>
      </c>
      <c r="H5" s="7" t="s">
        <v>31</v>
      </c>
      <c r="I5" s="5"/>
      <c r="J5" s="7" t="s">
        <v>32</v>
      </c>
      <c r="K5" s="15">
        <v>45000</v>
      </c>
      <c r="L5" s="15">
        <v>11000</v>
      </c>
      <c r="M5" s="15">
        <v>20000</v>
      </c>
      <c r="N5" s="7" t="s">
        <v>33</v>
      </c>
      <c r="O5" s="16">
        <v>1237.2</v>
      </c>
      <c r="P5" s="17" t="s">
        <v>34</v>
      </c>
      <c r="Q5" s="5">
        <v>10.06</v>
      </c>
      <c r="R5" s="6"/>
      <c r="S5" s="2" t="s">
        <v>35</v>
      </c>
    </row>
    <row r="6" spans="1:19" ht="18.75">
      <c r="A6" s="2">
        <v>3</v>
      </c>
      <c r="B6" s="6" t="s">
        <v>36</v>
      </c>
      <c r="C6" s="8" t="s">
        <v>37</v>
      </c>
      <c r="D6" s="7" t="s">
        <v>28</v>
      </c>
      <c r="E6" s="7" t="s">
        <v>38</v>
      </c>
      <c r="F6" s="7" t="s">
        <v>39</v>
      </c>
      <c r="G6" s="7" t="s">
        <v>30</v>
      </c>
      <c r="H6" s="7" t="s">
        <v>31</v>
      </c>
      <c r="I6" s="7"/>
      <c r="J6" s="18">
        <v>0.1295</v>
      </c>
      <c r="K6" s="15">
        <v>45000</v>
      </c>
      <c r="L6" s="15">
        <v>11000</v>
      </c>
      <c r="M6" s="7" t="s">
        <v>40</v>
      </c>
      <c r="N6" s="7" t="s">
        <v>41</v>
      </c>
      <c r="O6" s="19">
        <v>1237.2</v>
      </c>
      <c r="P6" s="17" t="s">
        <v>42</v>
      </c>
      <c r="Q6" s="5"/>
      <c r="R6" s="6"/>
      <c r="S6" s="2" t="s">
        <v>43</v>
      </c>
    </row>
    <row r="7" spans="1:19" ht="18.75">
      <c r="A7" s="2">
        <v>4</v>
      </c>
      <c r="B7" s="6" t="s">
        <v>44</v>
      </c>
      <c r="C7" s="7" t="s">
        <v>45</v>
      </c>
      <c r="D7" s="7" t="s">
        <v>28</v>
      </c>
      <c r="E7" s="7" t="s">
        <v>46</v>
      </c>
      <c r="F7" s="7" t="s">
        <v>47</v>
      </c>
      <c r="G7" s="7" t="s">
        <v>48</v>
      </c>
      <c r="H7" s="7" t="s">
        <v>49</v>
      </c>
      <c r="I7" s="7"/>
      <c r="J7" s="18">
        <v>5.9400000000000001E-2</v>
      </c>
      <c r="K7" s="5">
        <v>1000</v>
      </c>
      <c r="L7" s="15">
        <v>20000</v>
      </c>
      <c r="M7" s="7" t="s">
        <v>50</v>
      </c>
      <c r="N7" s="7" t="s">
        <v>51</v>
      </c>
      <c r="O7" s="15">
        <v>1443</v>
      </c>
      <c r="P7" s="17">
        <v>510</v>
      </c>
      <c r="Q7" s="2"/>
      <c r="R7" s="6"/>
      <c r="S7" s="2" t="s">
        <v>52</v>
      </c>
    </row>
    <row r="8" spans="1:19" ht="18.75">
      <c r="A8" s="2">
        <v>5</v>
      </c>
      <c r="B8" s="6" t="s">
        <v>53</v>
      </c>
      <c r="C8" s="9" t="s">
        <v>54</v>
      </c>
      <c r="D8" s="7" t="s">
        <v>55</v>
      </c>
      <c r="E8" s="7" t="s">
        <v>56</v>
      </c>
      <c r="F8" s="7" t="s">
        <v>57</v>
      </c>
      <c r="G8" s="7" t="s">
        <v>58</v>
      </c>
      <c r="H8" s="7" t="s">
        <v>49</v>
      </c>
      <c r="I8" s="7"/>
      <c r="J8" s="20">
        <v>7.0000000000000007E-2</v>
      </c>
      <c r="K8" s="5">
        <v>2500</v>
      </c>
      <c r="L8" s="5">
        <v>20000</v>
      </c>
      <c r="M8" s="7" t="s">
        <v>50</v>
      </c>
      <c r="N8" s="7" t="s">
        <v>59</v>
      </c>
      <c r="O8" s="21">
        <v>3608.44</v>
      </c>
      <c r="P8" s="17" t="s">
        <v>60</v>
      </c>
      <c r="Q8" s="2"/>
      <c r="R8" s="6"/>
      <c r="S8" s="2" t="s">
        <v>61</v>
      </c>
    </row>
    <row r="9" spans="1:19" ht="18.75">
      <c r="A9" s="2">
        <v>6</v>
      </c>
      <c r="B9" s="6" t="s">
        <v>62</v>
      </c>
      <c r="C9" s="8" t="s">
        <v>63</v>
      </c>
      <c r="D9" s="7" t="s">
        <v>64</v>
      </c>
      <c r="E9" s="7" t="s">
        <v>65</v>
      </c>
      <c r="F9" s="7" t="s">
        <v>66</v>
      </c>
      <c r="G9" s="7" t="s">
        <v>58</v>
      </c>
      <c r="H9" s="7" t="s">
        <v>49</v>
      </c>
      <c r="I9" s="7"/>
      <c r="J9" s="18">
        <v>7.2300000000000003E-2</v>
      </c>
      <c r="K9" s="5">
        <v>3000</v>
      </c>
      <c r="L9" s="5">
        <v>20000</v>
      </c>
      <c r="M9" s="7" t="s">
        <v>50</v>
      </c>
      <c r="N9" s="7" t="s">
        <v>67</v>
      </c>
      <c r="O9" s="15">
        <v>4330</v>
      </c>
      <c r="P9" s="17">
        <v>1815</v>
      </c>
      <c r="Q9" s="2"/>
      <c r="R9" s="6"/>
      <c r="S9" s="2" t="s">
        <v>68</v>
      </c>
    </row>
    <row r="10" spans="1:19" ht="18.75">
      <c r="A10" s="2">
        <v>7</v>
      </c>
      <c r="B10" s="6" t="s">
        <v>69</v>
      </c>
      <c r="C10" s="9" t="s">
        <v>70</v>
      </c>
      <c r="D10" s="7" t="s">
        <v>21</v>
      </c>
      <c r="E10" s="7" t="s">
        <v>71</v>
      </c>
      <c r="F10" s="7" t="s">
        <v>72</v>
      </c>
      <c r="G10" s="7" t="s">
        <v>58</v>
      </c>
      <c r="H10" s="7" t="s">
        <v>73</v>
      </c>
      <c r="I10" s="7"/>
      <c r="J10" s="18">
        <v>7.0000000000000007E-2</v>
      </c>
      <c r="K10" s="15">
        <v>2500</v>
      </c>
      <c r="L10" s="17">
        <v>20000</v>
      </c>
      <c r="M10" s="17">
        <v>400</v>
      </c>
      <c r="N10" s="7" t="s">
        <v>74</v>
      </c>
      <c r="O10" s="17">
        <v>3608</v>
      </c>
      <c r="P10" s="17">
        <v>5750</v>
      </c>
      <c r="Q10" s="5"/>
      <c r="R10" s="6"/>
      <c r="S10" s="2" t="s">
        <v>75</v>
      </c>
    </row>
    <row r="11" spans="1:19" ht="18.75">
      <c r="A11" s="2">
        <v>8</v>
      </c>
      <c r="B11" s="6" t="s">
        <v>76</v>
      </c>
      <c r="C11" s="5" t="s">
        <v>77</v>
      </c>
      <c r="D11" s="5" t="s">
        <v>55</v>
      </c>
      <c r="E11" s="5">
        <v>10338949</v>
      </c>
      <c r="F11" s="5">
        <v>2010</v>
      </c>
      <c r="G11" s="5" t="s">
        <v>58</v>
      </c>
      <c r="H11" s="5" t="s">
        <v>49</v>
      </c>
      <c r="I11" s="5"/>
      <c r="J11" s="18">
        <v>7.4999999999999997E-2</v>
      </c>
      <c r="K11" s="5">
        <v>3000</v>
      </c>
      <c r="L11" s="5">
        <v>20000</v>
      </c>
      <c r="M11" s="5">
        <v>400</v>
      </c>
      <c r="N11" s="7" t="s">
        <v>67</v>
      </c>
      <c r="O11" s="5">
        <v>4330.1000000000004</v>
      </c>
      <c r="P11" s="5" t="s">
        <v>78</v>
      </c>
      <c r="Q11" s="5"/>
      <c r="R11" s="6"/>
      <c r="S11" s="2" t="s">
        <v>79</v>
      </c>
    </row>
    <row r="12" spans="1:19" ht="18.75">
      <c r="A12" s="2">
        <v>9</v>
      </c>
      <c r="B12" s="6" t="s">
        <v>80</v>
      </c>
      <c r="C12" s="5" t="s">
        <v>81</v>
      </c>
      <c r="D12" s="5" t="s">
        <v>21</v>
      </c>
      <c r="E12" s="5">
        <v>60952</v>
      </c>
      <c r="F12" s="5">
        <v>1994</v>
      </c>
      <c r="G12" s="5" t="s">
        <v>58</v>
      </c>
      <c r="H12" s="5" t="s">
        <v>49</v>
      </c>
      <c r="I12" s="5"/>
      <c r="J12" s="18">
        <v>7.0000000000000007E-2</v>
      </c>
      <c r="K12" s="5">
        <v>2500</v>
      </c>
      <c r="L12" s="5">
        <v>20000</v>
      </c>
      <c r="M12" s="5">
        <v>400</v>
      </c>
      <c r="N12" s="5">
        <v>72.099999999999994</v>
      </c>
      <c r="O12" s="5">
        <v>3608.4</v>
      </c>
      <c r="P12" s="5">
        <v>5750</v>
      </c>
      <c r="Q12" s="5"/>
      <c r="R12" s="6"/>
      <c r="S12" s="2" t="s">
        <v>82</v>
      </c>
    </row>
    <row r="13" spans="1:19" ht="18.75">
      <c r="A13" s="2">
        <v>10</v>
      </c>
      <c r="B13" s="8" t="s">
        <v>83</v>
      </c>
      <c r="C13" s="8" t="s">
        <v>84</v>
      </c>
      <c r="D13" s="2" t="s">
        <v>85</v>
      </c>
      <c r="E13" s="10">
        <v>2011466</v>
      </c>
      <c r="F13" s="10">
        <v>2011</v>
      </c>
      <c r="G13" s="2" t="s">
        <v>86</v>
      </c>
      <c r="H13" s="2" t="s">
        <v>86</v>
      </c>
      <c r="I13" s="2"/>
      <c r="J13" s="2"/>
      <c r="K13" s="2">
        <v>55000</v>
      </c>
      <c r="L13" s="2">
        <v>380</v>
      </c>
      <c r="M13" s="2">
        <v>66000</v>
      </c>
      <c r="N13" s="2"/>
      <c r="O13" s="2"/>
      <c r="P13" s="2"/>
      <c r="Q13" s="2"/>
      <c r="R13" s="8" t="s">
        <v>87</v>
      </c>
      <c r="S13" s="2" t="s">
        <v>88</v>
      </c>
    </row>
    <row r="14" spans="1:19" ht="18.75">
      <c r="A14" s="2">
        <v>11</v>
      </c>
      <c r="B14" s="8" t="s">
        <v>89</v>
      </c>
      <c r="C14" s="8" t="s">
        <v>90</v>
      </c>
      <c r="D14" s="2" t="s">
        <v>85</v>
      </c>
      <c r="E14" s="10">
        <v>2011465</v>
      </c>
      <c r="F14" s="10">
        <v>2011</v>
      </c>
      <c r="G14" s="2" t="s">
        <v>86</v>
      </c>
      <c r="H14" s="2" t="s">
        <v>86</v>
      </c>
      <c r="I14" s="2"/>
      <c r="J14" s="2"/>
      <c r="K14" s="2">
        <v>55000</v>
      </c>
      <c r="L14" s="2">
        <v>380</v>
      </c>
      <c r="M14" s="2">
        <v>66000</v>
      </c>
      <c r="N14" s="2"/>
      <c r="O14" s="2"/>
      <c r="P14" s="2"/>
      <c r="Q14" s="2"/>
      <c r="R14" s="8" t="s">
        <v>91</v>
      </c>
      <c r="S14" s="2" t="s">
        <v>92</v>
      </c>
    </row>
    <row r="15" spans="1:19" ht="18.75">
      <c r="A15" s="2">
        <v>12</v>
      </c>
      <c r="B15" s="8" t="s">
        <v>93</v>
      </c>
      <c r="C15" s="8" t="s">
        <v>94</v>
      </c>
      <c r="D15" s="2" t="s">
        <v>85</v>
      </c>
      <c r="E15" s="10">
        <v>2011464</v>
      </c>
      <c r="F15" s="10">
        <v>2011</v>
      </c>
      <c r="G15" s="2" t="s">
        <v>86</v>
      </c>
      <c r="H15" s="2" t="s">
        <v>86</v>
      </c>
      <c r="I15" s="2"/>
      <c r="J15" s="2"/>
      <c r="K15" s="2">
        <v>55000</v>
      </c>
      <c r="L15" s="2">
        <v>380</v>
      </c>
      <c r="M15" s="2">
        <v>66000</v>
      </c>
      <c r="N15" s="2"/>
      <c r="O15" s="2"/>
      <c r="P15" s="2"/>
      <c r="Q15" s="2"/>
      <c r="R15" s="8" t="s">
        <v>95</v>
      </c>
      <c r="S15" s="2" t="s">
        <v>96</v>
      </c>
    </row>
    <row r="16" spans="1:19" ht="18.75">
      <c r="A16" s="2">
        <v>13</v>
      </c>
      <c r="B16" s="8" t="s">
        <v>97</v>
      </c>
      <c r="C16" s="8" t="s">
        <v>98</v>
      </c>
      <c r="D16" s="2" t="s">
        <v>85</v>
      </c>
      <c r="E16" s="10">
        <v>2015535</v>
      </c>
      <c r="F16" s="10">
        <v>2015</v>
      </c>
      <c r="G16" s="2" t="s">
        <v>86</v>
      </c>
      <c r="H16" s="2" t="s">
        <v>86</v>
      </c>
      <c r="I16" s="2"/>
      <c r="J16" s="2"/>
      <c r="K16" s="2">
        <v>55000</v>
      </c>
      <c r="L16" s="2">
        <v>380</v>
      </c>
      <c r="M16" s="2">
        <v>66000</v>
      </c>
      <c r="N16" s="2"/>
      <c r="O16" s="2"/>
      <c r="P16" s="2"/>
      <c r="Q16" s="2"/>
      <c r="R16" s="8" t="s">
        <v>99</v>
      </c>
      <c r="S16" s="2" t="s">
        <v>100</v>
      </c>
    </row>
    <row r="17" spans="1:19" ht="18.75">
      <c r="A17" s="2">
        <v>14</v>
      </c>
      <c r="B17" s="8" t="s">
        <v>101</v>
      </c>
      <c r="C17" s="8" t="s">
        <v>102</v>
      </c>
      <c r="D17" s="2" t="s">
        <v>85</v>
      </c>
      <c r="E17" s="10">
        <v>2015534</v>
      </c>
      <c r="F17" s="10">
        <v>2015</v>
      </c>
      <c r="G17" s="2" t="s">
        <v>86</v>
      </c>
      <c r="H17" s="2" t="s">
        <v>86</v>
      </c>
      <c r="I17" s="2"/>
      <c r="J17" s="2"/>
      <c r="K17" s="2">
        <v>55000</v>
      </c>
      <c r="L17" s="2">
        <v>380</v>
      </c>
      <c r="M17" s="2">
        <v>66000</v>
      </c>
      <c r="N17" s="2"/>
      <c r="O17" s="2"/>
      <c r="P17" s="2"/>
      <c r="Q17" s="2"/>
      <c r="R17" s="8" t="s">
        <v>103</v>
      </c>
      <c r="S17" s="2" t="s">
        <v>104</v>
      </c>
    </row>
    <row r="18" spans="1:19" ht="18.75">
      <c r="A18" s="2">
        <v>15</v>
      </c>
      <c r="B18" s="8" t="s">
        <v>105</v>
      </c>
      <c r="C18" s="8" t="s">
        <v>106</v>
      </c>
      <c r="D18" s="2" t="s">
        <v>85</v>
      </c>
      <c r="E18" s="10">
        <v>2015533</v>
      </c>
      <c r="F18" s="10">
        <v>2015</v>
      </c>
      <c r="G18" s="2" t="s">
        <v>86</v>
      </c>
      <c r="H18" s="2" t="s">
        <v>86</v>
      </c>
      <c r="I18" s="2"/>
      <c r="J18" s="2"/>
      <c r="K18" s="2">
        <v>55000</v>
      </c>
      <c r="L18" s="2">
        <v>380</v>
      </c>
      <c r="M18" s="2">
        <v>66000</v>
      </c>
      <c r="N18" s="2"/>
      <c r="O18" s="2"/>
      <c r="P18" s="2"/>
      <c r="Q18" s="2"/>
      <c r="R18" s="8" t="s">
        <v>107</v>
      </c>
      <c r="S18" s="2" t="s">
        <v>108</v>
      </c>
    </row>
    <row r="19" spans="1:19" ht="18.75">
      <c r="A19" s="2">
        <v>16</v>
      </c>
      <c r="B19" s="8" t="s">
        <v>109</v>
      </c>
      <c r="C19" s="8" t="s">
        <v>110</v>
      </c>
      <c r="D19" s="2" t="s">
        <v>85</v>
      </c>
      <c r="E19" s="7" t="s">
        <v>111</v>
      </c>
      <c r="F19" s="10">
        <v>2015</v>
      </c>
      <c r="G19" s="2" t="s">
        <v>86</v>
      </c>
      <c r="H19" s="2" t="s">
        <v>86</v>
      </c>
      <c r="I19" s="2"/>
      <c r="J19" s="2"/>
      <c r="K19" s="2">
        <v>55000</v>
      </c>
      <c r="L19" s="2">
        <v>380</v>
      </c>
      <c r="M19" s="2">
        <v>66000</v>
      </c>
      <c r="N19" s="2"/>
      <c r="O19" s="2"/>
      <c r="P19" s="2"/>
      <c r="Q19" s="2"/>
      <c r="R19" s="8" t="s">
        <v>112</v>
      </c>
      <c r="S19" s="2" t="s">
        <v>113</v>
      </c>
    </row>
    <row r="20" spans="1:19" ht="18.75">
      <c r="A20" s="2">
        <v>17</v>
      </c>
      <c r="B20" s="8" t="s">
        <v>114</v>
      </c>
      <c r="C20" s="8" t="s">
        <v>115</v>
      </c>
      <c r="D20" s="2" t="s">
        <v>85</v>
      </c>
      <c r="E20" s="7" t="s">
        <v>111</v>
      </c>
      <c r="F20" s="10">
        <v>2015</v>
      </c>
      <c r="G20" s="2" t="s">
        <v>86</v>
      </c>
      <c r="H20" s="2" t="s">
        <v>86</v>
      </c>
      <c r="I20" s="2"/>
      <c r="J20" s="2"/>
      <c r="K20" s="2">
        <v>55000</v>
      </c>
      <c r="L20" s="2">
        <v>380</v>
      </c>
      <c r="M20" s="2">
        <v>66000</v>
      </c>
      <c r="N20" s="2"/>
      <c r="O20" s="2"/>
      <c r="P20" s="2"/>
      <c r="Q20" s="2"/>
      <c r="R20" s="8" t="s">
        <v>116</v>
      </c>
      <c r="S20" s="2" t="s">
        <v>117</v>
      </c>
    </row>
    <row r="21" spans="1:19" ht="18.75">
      <c r="A21" s="2">
        <v>18</v>
      </c>
      <c r="B21" s="8" t="s">
        <v>118</v>
      </c>
      <c r="C21" s="8" t="s">
        <v>119</v>
      </c>
      <c r="D21" s="2" t="s">
        <v>85</v>
      </c>
      <c r="E21" s="7" t="s">
        <v>111</v>
      </c>
      <c r="F21" s="10">
        <v>2015</v>
      </c>
      <c r="G21" s="2" t="s">
        <v>86</v>
      </c>
      <c r="H21" s="2" t="s">
        <v>86</v>
      </c>
      <c r="I21" s="2"/>
      <c r="J21" s="2"/>
      <c r="K21" s="2">
        <v>55000</v>
      </c>
      <c r="L21" s="2">
        <v>380</v>
      </c>
      <c r="M21" s="2">
        <v>66000</v>
      </c>
      <c r="N21" s="2"/>
      <c r="O21" s="2"/>
      <c r="P21" s="2"/>
      <c r="Q21" s="2"/>
      <c r="R21" s="8" t="s">
        <v>120</v>
      </c>
      <c r="S21" s="2" t="s">
        <v>121</v>
      </c>
    </row>
    <row r="22" spans="1:19" ht="18.75">
      <c r="A22" s="2">
        <v>19</v>
      </c>
      <c r="B22" s="6" t="s">
        <v>122</v>
      </c>
      <c r="C22" s="11" t="s">
        <v>123</v>
      </c>
      <c r="D22" s="7" t="s">
        <v>64</v>
      </c>
      <c r="E22" s="7" t="s">
        <v>124</v>
      </c>
      <c r="F22" s="7" t="s">
        <v>125</v>
      </c>
      <c r="G22" s="7" t="s">
        <v>30</v>
      </c>
      <c r="H22" s="7" t="s">
        <v>24</v>
      </c>
      <c r="I22" s="7"/>
      <c r="J22" s="18">
        <v>0.1434</v>
      </c>
      <c r="K22" s="5">
        <v>75000</v>
      </c>
      <c r="L22" s="19">
        <v>10.5</v>
      </c>
      <c r="M22" s="17">
        <v>22000</v>
      </c>
      <c r="N22" s="7" t="s">
        <v>126</v>
      </c>
      <c r="O22" s="15">
        <v>1575</v>
      </c>
      <c r="P22" s="17">
        <v>80000</v>
      </c>
      <c r="Q22" s="5"/>
      <c r="R22" s="2"/>
      <c r="S22" s="2" t="s">
        <v>127</v>
      </c>
    </row>
    <row r="23" spans="1:19" ht="18.75">
      <c r="A23" s="2">
        <v>20</v>
      </c>
      <c r="B23" s="6" t="s">
        <v>128</v>
      </c>
      <c r="C23" s="11" t="s">
        <v>129</v>
      </c>
      <c r="D23" s="7" t="s">
        <v>64</v>
      </c>
      <c r="E23" s="7" t="s">
        <v>130</v>
      </c>
      <c r="F23" s="7" t="s">
        <v>66</v>
      </c>
      <c r="G23" s="7" t="s">
        <v>131</v>
      </c>
      <c r="H23" s="7" t="s">
        <v>24</v>
      </c>
      <c r="I23" s="7"/>
      <c r="J23" s="18">
        <v>0.1061</v>
      </c>
      <c r="K23" s="5">
        <v>12000</v>
      </c>
      <c r="L23" s="5">
        <v>22000</v>
      </c>
      <c r="M23" s="17">
        <v>3150</v>
      </c>
      <c r="N23" s="7" t="s">
        <v>132</v>
      </c>
      <c r="O23" s="16">
        <v>2199.4</v>
      </c>
      <c r="P23" s="17">
        <v>25800</v>
      </c>
      <c r="Q23" s="5"/>
      <c r="R23" s="2"/>
      <c r="S23" s="2" t="s">
        <v>133</v>
      </c>
    </row>
    <row r="24" spans="1:19" ht="18.75">
      <c r="A24" s="2">
        <v>21</v>
      </c>
      <c r="B24" s="6" t="s">
        <v>134</v>
      </c>
      <c r="C24" s="11" t="s">
        <v>135</v>
      </c>
      <c r="D24" s="7" t="s">
        <v>64</v>
      </c>
      <c r="E24" s="7" t="s">
        <v>136</v>
      </c>
      <c r="F24" s="7" t="s">
        <v>66</v>
      </c>
      <c r="G24" s="7" t="s">
        <v>131</v>
      </c>
      <c r="H24" s="7" t="s">
        <v>24</v>
      </c>
      <c r="I24" s="7"/>
      <c r="J24" s="18">
        <v>9.9000000000000005E-2</v>
      </c>
      <c r="K24" s="5">
        <v>12000</v>
      </c>
      <c r="L24" s="19">
        <v>10.5</v>
      </c>
      <c r="M24" s="15">
        <v>3150</v>
      </c>
      <c r="N24" s="7" t="s">
        <v>137</v>
      </c>
      <c r="O24" s="16">
        <v>2199.4</v>
      </c>
      <c r="P24" s="17">
        <v>22000</v>
      </c>
      <c r="Q24" s="2"/>
      <c r="R24" s="2"/>
      <c r="S24" s="2" t="s">
        <v>138</v>
      </c>
    </row>
    <row r="25" spans="1:19" ht="18.75">
      <c r="A25" s="2">
        <v>22</v>
      </c>
      <c r="B25" s="6" t="s">
        <v>139</v>
      </c>
      <c r="C25" s="9" t="s">
        <v>140</v>
      </c>
      <c r="D25" s="7" t="s">
        <v>64</v>
      </c>
      <c r="E25" s="7" t="s">
        <v>141</v>
      </c>
      <c r="F25" s="7" t="s">
        <v>66</v>
      </c>
      <c r="G25" s="7" t="s">
        <v>48</v>
      </c>
      <c r="H25" s="7" t="s">
        <v>24</v>
      </c>
      <c r="I25" s="7"/>
      <c r="J25" s="18">
        <v>9.6100000000000005E-2</v>
      </c>
      <c r="K25" s="5">
        <v>2500</v>
      </c>
      <c r="L25" s="22">
        <v>3000</v>
      </c>
      <c r="M25" s="17">
        <v>400</v>
      </c>
      <c r="N25" s="7" t="s">
        <v>142</v>
      </c>
      <c r="O25" s="15">
        <v>1575</v>
      </c>
      <c r="P25" s="17">
        <v>5500</v>
      </c>
      <c r="Q25" s="2"/>
      <c r="R25" s="2"/>
      <c r="S25" s="2" t="s">
        <v>143</v>
      </c>
    </row>
    <row r="26" spans="1:19" ht="18.75">
      <c r="A26" s="2">
        <v>23</v>
      </c>
      <c r="B26" s="6" t="s">
        <v>144</v>
      </c>
      <c r="C26" s="9" t="s">
        <v>145</v>
      </c>
      <c r="D26" s="7" t="s">
        <v>64</v>
      </c>
      <c r="E26" s="7" t="s">
        <v>146</v>
      </c>
      <c r="F26" s="7" t="s">
        <v>66</v>
      </c>
      <c r="G26" s="7" t="s">
        <v>48</v>
      </c>
      <c r="H26" s="7" t="s">
        <v>24</v>
      </c>
      <c r="I26" s="7"/>
      <c r="J26" s="18">
        <v>9.6199999999999994E-2</v>
      </c>
      <c r="K26" s="5">
        <v>2500</v>
      </c>
      <c r="L26" s="15">
        <v>3000</v>
      </c>
      <c r="M26" s="17">
        <v>400</v>
      </c>
      <c r="N26" s="7" t="s">
        <v>142</v>
      </c>
      <c r="O26" s="15">
        <v>1575</v>
      </c>
      <c r="P26" s="17">
        <v>5500</v>
      </c>
      <c r="Q26" s="2"/>
      <c r="R26" s="2"/>
      <c r="S26" s="2" t="s">
        <v>147</v>
      </c>
    </row>
    <row r="27" spans="1:19" ht="18.75">
      <c r="A27" s="2">
        <v>24</v>
      </c>
      <c r="B27" s="6" t="s">
        <v>148</v>
      </c>
      <c r="C27" s="7"/>
      <c r="D27" s="7" t="s">
        <v>149</v>
      </c>
      <c r="E27" s="7" t="s">
        <v>150</v>
      </c>
      <c r="F27" s="7" t="s">
        <v>151</v>
      </c>
      <c r="G27" s="7" t="s">
        <v>58</v>
      </c>
      <c r="H27" s="7" t="s">
        <v>49</v>
      </c>
      <c r="I27" s="7"/>
      <c r="J27" s="18">
        <v>7.4999999999999997E-2</v>
      </c>
      <c r="K27" s="17">
        <v>3000</v>
      </c>
      <c r="L27" s="17">
        <v>20000</v>
      </c>
      <c r="M27" s="7" t="s">
        <v>50</v>
      </c>
      <c r="N27" s="7" t="s">
        <v>152</v>
      </c>
      <c r="O27" s="21">
        <v>4330.13</v>
      </c>
      <c r="P27" s="17">
        <v>7330</v>
      </c>
      <c r="Q27" s="2"/>
      <c r="R27" s="2"/>
      <c r="S27" s="2" t="s">
        <v>153</v>
      </c>
    </row>
    <row r="28" spans="1:19" ht="18.75">
      <c r="A28" s="2">
        <v>25</v>
      </c>
      <c r="B28" s="6" t="s">
        <v>154</v>
      </c>
      <c r="C28" s="7" t="s">
        <v>111</v>
      </c>
      <c r="D28" s="7" t="s">
        <v>55</v>
      </c>
      <c r="E28" s="7" t="s">
        <v>155</v>
      </c>
      <c r="F28" s="7" t="s">
        <v>156</v>
      </c>
      <c r="G28" s="7" t="s">
        <v>58</v>
      </c>
      <c r="H28" s="7" t="s">
        <v>24</v>
      </c>
      <c r="I28" s="7"/>
      <c r="J28" s="18"/>
      <c r="K28" s="5">
        <v>3000</v>
      </c>
      <c r="L28" s="5">
        <v>20000</v>
      </c>
      <c r="M28" s="17">
        <v>400</v>
      </c>
      <c r="N28" s="7" t="s">
        <v>67</v>
      </c>
      <c r="O28" s="15">
        <v>4330</v>
      </c>
      <c r="P28" s="15">
        <v>2060</v>
      </c>
      <c r="Q28" s="5"/>
      <c r="R28" s="2"/>
      <c r="S28" s="2" t="s">
        <v>157</v>
      </c>
    </row>
    <row r="29" spans="1:19" ht="18.75">
      <c r="A29" s="2">
        <v>26</v>
      </c>
      <c r="B29" s="6" t="s">
        <v>158</v>
      </c>
      <c r="C29" s="7" t="s">
        <v>111</v>
      </c>
      <c r="D29" s="7" t="s">
        <v>159</v>
      </c>
      <c r="E29" s="7" t="s">
        <v>160</v>
      </c>
      <c r="F29" s="7" t="s">
        <v>57</v>
      </c>
      <c r="G29" s="7" t="s">
        <v>48</v>
      </c>
      <c r="H29" s="7" t="s">
        <v>161</v>
      </c>
      <c r="I29" s="7"/>
      <c r="J29" s="18">
        <v>4.3299999999999998E-2</v>
      </c>
      <c r="K29" s="17">
        <v>400</v>
      </c>
      <c r="L29" s="45" t="s">
        <v>162</v>
      </c>
      <c r="M29" s="7" t="s">
        <v>50</v>
      </c>
      <c r="N29" s="7" t="s">
        <v>163</v>
      </c>
      <c r="O29" s="21">
        <v>577.35</v>
      </c>
      <c r="P29" s="17" t="s">
        <v>164</v>
      </c>
      <c r="Q29" s="2"/>
      <c r="R29" s="2"/>
      <c r="S29" s="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FUNCLOC</vt:lpstr>
      <vt:lpstr>TRANSFORMERS</vt:lpstr>
      <vt:lpstr>TRANSFORMER_DETAILS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ei.inspector</dc:creator>
  <cp:lastModifiedBy>Doni Darmawan</cp:lastModifiedBy>
  <dcterms:created xsi:type="dcterms:W3CDTF">2023-11-15T06:47:00Z</dcterms:created>
  <dcterms:modified xsi:type="dcterms:W3CDTF">2023-11-22T14:08:50Z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5B8E41DDD9484632B3F0C171ED9A266E</vt:lpwstr>
  </property>
  <property fmtid="{D5CDD505-2E9C-101B-9397-08002B2CF9AE}" pid="3" name="KSOProductBuildVer">
    <vt:lpwstr>1033-11.2.0.11498</vt:lpwstr>
  </property>
</Properties>
</file>